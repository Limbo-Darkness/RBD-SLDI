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rlop\Downloads\Spring2026\CVProject\"/>
    </mc:Choice>
  </mc:AlternateContent>
  <xr:revisionPtr revIDLastSave="0" documentId="13_ncr:1_{E704A3D1-5F25-4177-9210-2119EFEDD3BD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Codes" sheetId="1" r:id="rId1"/>
    <sheet name="Data" sheetId="2" r:id="rId2"/>
    <sheet name="Analyt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 a="1"/>
  <c r="B29" i="3" s="1"/>
  <c r="B28" i="3" a="1"/>
  <c r="B28" i="3" s="1"/>
  <c r="B27" i="3" a="1"/>
  <c r="B27" i="3" s="1"/>
  <c r="B26" i="3" a="1"/>
  <c r="B26" i="3" s="1"/>
  <c r="C29" i="3" a="1"/>
  <c r="C29" i="3" s="1"/>
  <c r="C28" i="3" a="1"/>
  <c r="C28" i="3" s="1"/>
  <c r="C27" i="3" a="1"/>
  <c r="C27" i="3" s="1"/>
  <c r="C26" i="3" a="1"/>
  <c r="C26" i="3" s="1"/>
  <c r="D29" i="3" a="1"/>
  <c r="D29" i="3" s="1"/>
  <c r="D28" i="3" a="1"/>
  <c r="D28" i="3" s="1"/>
  <c r="D27" i="3" a="1"/>
  <c r="D27" i="3" s="1"/>
  <c r="D26" i="3" a="1"/>
  <c r="D26" i="3" s="1"/>
  <c r="D23" i="3" a="1"/>
  <c r="D23" i="3" s="1"/>
  <c r="D22" i="3" a="1"/>
  <c r="D22" i="3" s="1"/>
  <c r="D21" i="3" a="1"/>
  <c r="D21" i="3" s="1"/>
  <c r="D20" i="3" a="1"/>
  <c r="D20" i="3" s="1"/>
  <c r="C23" i="3" a="1"/>
  <c r="C23" i="3" s="1"/>
  <c r="C22" i="3" a="1"/>
  <c r="C22" i="3" s="1"/>
  <c r="C21" i="3" a="1"/>
  <c r="C21" i="3" s="1"/>
  <c r="C20" i="3" a="1"/>
  <c r="C20" i="3" s="1"/>
  <c r="B22" i="3" a="1"/>
  <c r="B22" i="3" s="1"/>
  <c r="B21" i="3" a="1"/>
  <c r="B21" i="3" s="1"/>
  <c r="B20" i="3" a="1"/>
  <c r="B20" i="3" s="1"/>
  <c r="E16" i="3" a="1"/>
  <c r="E16" i="3" s="1"/>
  <c r="D16" i="3" a="1"/>
  <c r="D16" i="3" s="1"/>
  <c r="C16" i="3" a="1"/>
  <c r="C16" i="3" s="1"/>
  <c r="B16" i="3" a="1"/>
  <c r="B16" i="3" s="1"/>
  <c r="E14" i="3" a="1"/>
  <c r="E14" i="3" s="1"/>
  <c r="E15" i="3" a="1"/>
  <c r="E15" i="3" s="1"/>
  <c r="D15" i="3" a="1"/>
  <c r="D15" i="3" s="1"/>
  <c r="C15" i="3" a="1"/>
  <c r="C15" i="3" s="1"/>
  <c r="B15" i="3" a="1"/>
  <c r="B15" i="3" s="1"/>
  <c r="D14" i="3" a="1"/>
  <c r="D14" i="3" s="1"/>
  <c r="C14" i="3" a="1"/>
  <c r="C14" i="3" s="1"/>
  <c r="E17" i="3" a="1"/>
  <c r="E17" i="3" s="1"/>
  <c r="D17" i="3" a="1"/>
  <c r="D17" i="3" s="1"/>
  <c r="C17" i="3" a="1"/>
  <c r="C17" i="3" s="1"/>
  <c r="B17" i="3" a="1"/>
  <c r="B17" i="3" s="1"/>
  <c r="E20" i="3" a="1"/>
  <c r="E20" i="3" s="1"/>
  <c r="G23" i="3" s="1"/>
  <c r="F23" i="3" a="1"/>
  <c r="F23" i="3" s="1"/>
  <c r="F22" i="3" a="1"/>
  <c r="F22" i="3" s="1"/>
  <c r="F21" i="3" a="1"/>
  <c r="F21" i="3" s="1"/>
  <c r="F20" i="3" a="1"/>
  <c r="F20" i="3" s="1"/>
  <c r="G22" i="3"/>
  <c r="E23" i="3" a="1"/>
  <c r="E23" i="3" s="1"/>
  <c r="E22" i="3" a="1"/>
  <c r="E22" i="3" s="1"/>
  <c r="E21" i="3" a="1"/>
  <c r="E21" i="3" s="1"/>
  <c r="B11" i="3" a="1"/>
  <c r="B11" i="3" s="1"/>
  <c r="B10" i="3" a="1"/>
  <c r="B10" i="3" s="1"/>
  <c r="B9" i="3" a="1"/>
  <c r="B9" i="3" s="1"/>
  <c r="B14" i="3" a="1"/>
  <c r="B14" i="3" s="1"/>
  <c r="B8" i="3" a="1"/>
  <c r="B8" i="3" s="1"/>
  <c r="E11" i="3" a="1"/>
  <c r="E11" i="3" s="1"/>
  <c r="E5" i="3" a="1"/>
  <c r="E5" i="3" s="1"/>
  <c r="E10" i="3" a="1"/>
  <c r="E10" i="3" s="1"/>
  <c r="E4" i="3" a="1"/>
  <c r="E4" i="3" s="1"/>
  <c r="E9" i="3" a="1"/>
  <c r="E9" i="3" s="1"/>
  <c r="E3" i="3" a="1"/>
  <c r="E3" i="3" s="1"/>
  <c r="E8" i="3" a="1"/>
  <c r="E8" i="3" s="1"/>
  <c r="B23" i="3" s="1" a="1"/>
  <c r="B23" i="3" s="1"/>
  <c r="E2" i="3" a="1"/>
  <c r="E2" i="3" s="1"/>
  <c r="D11" i="3" a="1"/>
  <c r="D11" i="3" s="1"/>
  <c r="D5" i="3" a="1"/>
  <c r="D5" i="3" s="1"/>
  <c r="D10" i="3" a="1"/>
  <c r="D10" i="3" s="1"/>
  <c r="D4" i="3" a="1"/>
  <c r="D4" i="3" s="1"/>
  <c r="D9" i="3" a="1"/>
  <c r="D9" i="3" s="1"/>
  <c r="D3" i="3" a="1"/>
  <c r="D3" i="3" s="1"/>
  <c r="D8" i="3" a="1"/>
  <c r="D8" i="3" s="1"/>
  <c r="D2" i="3" a="1"/>
  <c r="D2" i="3" s="1"/>
  <c r="C8" i="3" a="1"/>
  <c r="C8" i="3" s="1"/>
  <c r="C2" i="3" a="1"/>
  <c r="C2" i="3" s="1"/>
  <c r="C9" i="3" a="1"/>
  <c r="C9" i="3" s="1"/>
  <c r="C3" i="3" a="1"/>
  <c r="C3" i="3" s="1"/>
  <c r="C10" i="3" a="1"/>
  <c r="C10" i="3" s="1"/>
  <c r="C4" i="3" a="1"/>
  <c r="C4" i="3" s="1"/>
  <c r="C11" i="3" a="1"/>
  <c r="C11" i="3" s="1"/>
  <c r="C5" i="3" a="1"/>
  <c r="C5" i="3" s="1"/>
  <c r="B5" i="3" a="1"/>
  <c r="B5" i="3" s="1"/>
  <c r="B4" i="3" a="1"/>
  <c r="B4" i="3" s="1"/>
  <c r="B3" i="3" a="1"/>
  <c r="B3" i="3" s="1"/>
  <c r="B2" i="3" a="1"/>
  <c r="B2" i="3" s="1"/>
  <c r="G20" i="3" l="1"/>
  <c r="G2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<sst xmlns="http://schemas.openxmlformats.org/spreadsheetml/2006/main" count="577" uniqueCount="44">
  <si>
    <t>Preprocessors:</t>
  </si>
  <si>
    <t>Codes:</t>
  </si>
  <si>
    <t>Gaussian Smoothing</t>
  </si>
  <si>
    <t>Median Filtering</t>
  </si>
  <si>
    <t>Bilateral Filtering</t>
  </si>
  <si>
    <t>Histogram Equalization</t>
  </si>
  <si>
    <t>CLAHE</t>
  </si>
  <si>
    <t>None</t>
  </si>
  <si>
    <t>Degradation:</t>
  </si>
  <si>
    <t>Edge Detector:</t>
  </si>
  <si>
    <t>Gaussian Noise</t>
  </si>
  <si>
    <t>Salt and Pepper Noise</t>
  </si>
  <si>
    <t>Blur</t>
  </si>
  <si>
    <t>Reduce Illumination</t>
  </si>
  <si>
    <t>Sobel</t>
  </si>
  <si>
    <t>Prewitt</t>
  </si>
  <si>
    <t>LoG</t>
  </si>
  <si>
    <t>Canny</t>
  </si>
  <si>
    <t>Code:</t>
  </si>
  <si>
    <t>Metric</t>
  </si>
  <si>
    <t>Metric:</t>
  </si>
  <si>
    <t>Mean:</t>
  </si>
  <si>
    <t>Median:</t>
  </si>
  <si>
    <t>Std:</t>
  </si>
  <si>
    <t>Min:</t>
  </si>
  <si>
    <t>Max:</t>
  </si>
  <si>
    <t>IoU</t>
  </si>
  <si>
    <t>Precision</t>
  </si>
  <si>
    <t>Recall</t>
  </si>
  <si>
    <t>F1</t>
  </si>
  <si>
    <t>Mean</t>
  </si>
  <si>
    <t>Median</t>
  </si>
  <si>
    <t>Std</t>
  </si>
  <si>
    <t>Min</t>
  </si>
  <si>
    <t>Max</t>
  </si>
  <si>
    <t>Code</t>
  </si>
  <si>
    <t>Averages</t>
  </si>
  <si>
    <t>Maximums</t>
  </si>
  <si>
    <t>Minimums</t>
  </si>
  <si>
    <t>Where Maximums</t>
  </si>
  <si>
    <t>Canny Count</t>
  </si>
  <si>
    <t>Does this match other Canny metrics?</t>
  </si>
  <si>
    <t>Where Minimums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</si>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</sst>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3" borderId="0" xfId="2" applyAlignment="1">
      <alignment wrapText="1"/>
    </xf>
    <xf numFmtId="0" fontId="1" fillId="2" borderId="0" xfId="1" applyAlignment="1">
      <alignment horizontal="center" wrapText="1"/>
    </xf>
    <xf numFmtId="0" fontId="1" fillId="2" borderId="0" xfId="1" applyAlignment="1">
      <alignment wrapText="1"/>
    </xf>
    <xf numFmtId="0" fontId="2" fillId="3" borderId="0" xfId="2"/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164" fontId="0" fillId="0" borderId="0" xfId="0" applyNumberFormat="1" applyAlignment="1"/>
    <xf numFmtId="0" fontId="2" fillId="3" borderId="0" xfId="2" applyAlignment="1">
      <alignment horizontal="left" vertical="center" wrapText="1"/>
    </xf>
  </cellXfs>
  <cellStyles count="3">
    <cellStyle name="Accent5" xfId="2" builtinId="45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H6" sqref="H6"/>
    </sheetView>
  </sheetViews>
  <sheetFormatPr defaultRowHeight="14.5" x14ac:dyDescent="0.35"/>
  <cols>
    <col min="1" max="1" width="8.7265625" style="1"/>
    <col min="2" max="2" width="24" style="1" customWidth="1"/>
    <col min="3" max="3" width="22.36328125" style="1" customWidth="1"/>
    <col min="4" max="4" width="12.81640625" style="1" customWidth="1"/>
    <col min="5" max="16384" width="8.7265625" style="1"/>
  </cols>
  <sheetData>
    <row r="1" spans="1:4" ht="29" x14ac:dyDescent="0.35">
      <c r="A1" s="3" t="s">
        <v>1</v>
      </c>
      <c r="B1" s="3" t="s">
        <v>0</v>
      </c>
      <c r="C1" s="3" t="s">
        <v>8</v>
      </c>
      <c r="D1" s="3" t="s">
        <v>9</v>
      </c>
    </row>
    <row r="2" spans="1:4" x14ac:dyDescent="0.35">
      <c r="A2" s="1">
        <v>0</v>
      </c>
      <c r="B2" s="2" t="s">
        <v>7</v>
      </c>
      <c r="C2" s="2" t="s">
        <v>7</v>
      </c>
      <c r="D2" s="2" t="s">
        <v>14</v>
      </c>
    </row>
    <row r="3" spans="1:4" x14ac:dyDescent="0.35">
      <c r="A3" s="1">
        <v>1</v>
      </c>
      <c r="B3" s="2" t="s">
        <v>2</v>
      </c>
      <c r="C3" s="2" t="s">
        <v>10</v>
      </c>
      <c r="D3" s="2" t="s">
        <v>15</v>
      </c>
    </row>
    <row r="4" spans="1:4" x14ac:dyDescent="0.35">
      <c r="A4" s="1">
        <v>2</v>
      </c>
      <c r="B4" s="2" t="s">
        <v>3</v>
      </c>
      <c r="C4" s="2" t="s">
        <v>11</v>
      </c>
      <c r="D4" s="2" t="s">
        <v>16</v>
      </c>
    </row>
    <row r="5" spans="1:4" x14ac:dyDescent="0.35">
      <c r="A5" s="1">
        <v>3</v>
      </c>
      <c r="B5" s="2" t="s">
        <v>4</v>
      </c>
      <c r="C5" s="2" t="s">
        <v>12</v>
      </c>
      <c r="D5" s="2" t="s">
        <v>17</v>
      </c>
    </row>
    <row r="6" spans="1:4" x14ac:dyDescent="0.35">
      <c r="A6" s="1">
        <v>4</v>
      </c>
      <c r="B6" s="2" t="s">
        <v>5</v>
      </c>
      <c r="C6" s="2" t="s">
        <v>13</v>
      </c>
      <c r="D6" s="4"/>
    </row>
    <row r="7" spans="1:4" x14ac:dyDescent="0.35">
      <c r="A7" s="1">
        <v>5</v>
      </c>
      <c r="B7" s="2" t="s">
        <v>6</v>
      </c>
      <c r="C7" s="5"/>
      <c r="D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53DA-936D-491F-876C-06D33DEF7045}">
  <dimension ref="A1:AE121"/>
  <sheetViews>
    <sheetView tabSelected="1" topLeftCell="A52" zoomScale="70" zoomScaleNormal="70" workbookViewId="0">
      <selection activeCell="M76" sqref="M76"/>
    </sheetView>
  </sheetViews>
  <sheetFormatPr defaultRowHeight="14.5" x14ac:dyDescent="0.35"/>
  <sheetData>
    <row r="1" spans="1:31" x14ac:dyDescent="0.35">
      <c r="A1" s="6" t="s">
        <v>18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I1" s="6" t="s">
        <v>35</v>
      </c>
      <c r="J1" s="6" t="s">
        <v>19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Q1" s="6" t="s">
        <v>35</v>
      </c>
      <c r="R1" s="6" t="s">
        <v>19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Y1" s="6" t="s">
        <v>35</v>
      </c>
      <c r="Z1" s="6" t="s">
        <v>19</v>
      </c>
      <c r="AA1" s="6" t="s">
        <v>30</v>
      </c>
      <c r="AB1" s="6" t="s">
        <v>31</v>
      </c>
      <c r="AC1" s="6" t="s">
        <v>32</v>
      </c>
      <c r="AD1" s="6" t="s">
        <v>33</v>
      </c>
      <c r="AE1" s="6" t="s">
        <v>34</v>
      </c>
    </row>
    <row r="2" spans="1:31" x14ac:dyDescent="0.35">
      <c r="A2" s="8">
        <v>0</v>
      </c>
      <c r="B2" t="s">
        <v>26</v>
      </c>
      <c r="C2">
        <v>0.1981</v>
      </c>
      <c r="D2">
        <v>0.2321</v>
      </c>
      <c r="E2">
        <v>8.4500000000000006E-2</v>
      </c>
      <c r="F2">
        <v>0</v>
      </c>
      <c r="G2">
        <v>0.6069</v>
      </c>
      <c r="H2" s="7"/>
      <c r="I2" s="8">
        <v>1</v>
      </c>
      <c r="J2" t="s">
        <v>26</v>
      </c>
      <c r="K2">
        <v>0.19789999999999999</v>
      </c>
      <c r="L2">
        <v>0.23150000000000001</v>
      </c>
      <c r="M2">
        <v>8.48E-2</v>
      </c>
      <c r="N2">
        <v>0</v>
      </c>
      <c r="O2">
        <v>0.60880000000000001</v>
      </c>
      <c r="Q2" s="8">
        <v>2</v>
      </c>
      <c r="R2" t="s">
        <v>26</v>
      </c>
      <c r="S2">
        <v>0.22439999999999999</v>
      </c>
      <c r="T2">
        <v>0.24099999999999999</v>
      </c>
      <c r="U2">
        <v>5.7099999999999998E-2</v>
      </c>
      <c r="V2">
        <v>0</v>
      </c>
      <c r="W2">
        <v>0.61950000000000005</v>
      </c>
      <c r="Y2" s="8">
        <v>3</v>
      </c>
      <c r="Z2" t="s">
        <v>26</v>
      </c>
      <c r="AA2">
        <v>0.24560000000000001</v>
      </c>
      <c r="AB2">
        <v>0.24249999999999999</v>
      </c>
      <c r="AC2">
        <v>1.49E-2</v>
      </c>
      <c r="AD2">
        <v>0.23139999999999999</v>
      </c>
      <c r="AE2">
        <v>0.35320000000000001</v>
      </c>
    </row>
    <row r="3" spans="1:31" x14ac:dyDescent="0.35">
      <c r="A3" s="8">
        <v>0</v>
      </c>
      <c r="B3" t="s">
        <v>27</v>
      </c>
      <c r="C3">
        <v>0.2555</v>
      </c>
      <c r="D3">
        <v>0.24360000000000001</v>
      </c>
      <c r="E3">
        <v>6.7100000000000007E-2</v>
      </c>
      <c r="F3">
        <v>0</v>
      </c>
      <c r="G3">
        <v>1</v>
      </c>
      <c r="I3" s="8">
        <v>1</v>
      </c>
      <c r="J3" t="s">
        <v>27</v>
      </c>
      <c r="K3">
        <v>0.25559999999999999</v>
      </c>
      <c r="L3">
        <v>0.24379999999999999</v>
      </c>
      <c r="M3">
        <v>6.7699999999999996E-2</v>
      </c>
      <c r="N3">
        <v>0</v>
      </c>
      <c r="O3">
        <v>1</v>
      </c>
      <c r="Q3" s="8">
        <v>2</v>
      </c>
      <c r="R3" t="s">
        <v>27</v>
      </c>
      <c r="S3">
        <v>0.24909999999999999</v>
      </c>
      <c r="T3">
        <v>0.2424</v>
      </c>
      <c r="U3">
        <v>4.6699999999999998E-2</v>
      </c>
      <c r="V3">
        <v>0</v>
      </c>
      <c r="W3">
        <v>0.98809999999999998</v>
      </c>
      <c r="Y3" s="8">
        <v>3</v>
      </c>
      <c r="Z3" t="s">
        <v>27</v>
      </c>
      <c r="AA3">
        <v>0.24560000000000001</v>
      </c>
      <c r="AB3">
        <v>0.24249999999999999</v>
      </c>
      <c r="AC3">
        <v>1.49E-2</v>
      </c>
      <c r="AD3">
        <v>0.23139999999999999</v>
      </c>
      <c r="AE3">
        <v>0.35320000000000001</v>
      </c>
    </row>
    <row r="4" spans="1:31" x14ac:dyDescent="0.35">
      <c r="A4" s="8">
        <v>0</v>
      </c>
      <c r="B4" t="s">
        <v>28</v>
      </c>
      <c r="C4">
        <v>0.64429999999999998</v>
      </c>
      <c r="D4">
        <v>0.83160000000000001</v>
      </c>
      <c r="E4">
        <v>0.36109999999999998</v>
      </c>
      <c r="F4">
        <v>0</v>
      </c>
      <c r="G4">
        <v>1</v>
      </c>
      <c r="I4" s="8">
        <v>1</v>
      </c>
      <c r="J4" t="s">
        <v>28</v>
      </c>
      <c r="K4">
        <v>0.64129999999999998</v>
      </c>
      <c r="L4">
        <v>0.82420000000000004</v>
      </c>
      <c r="M4">
        <v>0.36049999999999999</v>
      </c>
      <c r="N4">
        <v>0</v>
      </c>
      <c r="O4">
        <v>1</v>
      </c>
      <c r="Q4" s="8">
        <v>2</v>
      </c>
      <c r="R4" t="s">
        <v>28</v>
      </c>
      <c r="S4">
        <v>0.84970000000000001</v>
      </c>
      <c r="T4">
        <v>0.99960000000000004</v>
      </c>
      <c r="U4">
        <v>0.29820000000000002</v>
      </c>
      <c r="V4">
        <v>0</v>
      </c>
      <c r="W4">
        <v>1</v>
      </c>
      <c r="Y4" s="8">
        <v>3</v>
      </c>
      <c r="Z4" t="s">
        <v>28</v>
      </c>
      <c r="AA4">
        <v>1</v>
      </c>
      <c r="AB4">
        <v>1</v>
      </c>
      <c r="AC4">
        <v>0</v>
      </c>
      <c r="AD4">
        <v>1</v>
      </c>
      <c r="AE4">
        <v>1</v>
      </c>
    </row>
    <row r="5" spans="1:31" x14ac:dyDescent="0.35">
      <c r="A5" s="8">
        <v>0</v>
      </c>
      <c r="B5" t="s">
        <v>29</v>
      </c>
      <c r="C5">
        <v>0.32190000000000002</v>
      </c>
      <c r="D5">
        <v>0.37680000000000002</v>
      </c>
      <c r="E5">
        <v>0.12479999999999999</v>
      </c>
      <c r="F5">
        <v>0</v>
      </c>
      <c r="G5">
        <v>0.75539999999999996</v>
      </c>
      <c r="I5" s="8">
        <v>1</v>
      </c>
      <c r="J5" t="s">
        <v>29</v>
      </c>
      <c r="K5">
        <v>0.32150000000000001</v>
      </c>
      <c r="L5">
        <v>0.37590000000000001</v>
      </c>
      <c r="M5">
        <v>0.12520000000000001</v>
      </c>
      <c r="N5">
        <v>0</v>
      </c>
      <c r="O5">
        <v>0.75680000000000003</v>
      </c>
      <c r="Q5" s="8">
        <v>2</v>
      </c>
      <c r="R5" t="s">
        <v>29</v>
      </c>
      <c r="S5">
        <v>0.36259999999999998</v>
      </c>
      <c r="T5">
        <v>0.38840000000000002</v>
      </c>
      <c r="U5">
        <v>8.3699999999999997E-2</v>
      </c>
      <c r="V5">
        <v>0</v>
      </c>
      <c r="W5">
        <v>0.76500000000000001</v>
      </c>
      <c r="Y5" s="8">
        <v>3</v>
      </c>
      <c r="Z5" t="s">
        <v>29</v>
      </c>
      <c r="AA5">
        <v>0.39410000000000001</v>
      </c>
      <c r="AB5">
        <v>0.39029999999999998</v>
      </c>
      <c r="AC5">
        <v>1.84E-2</v>
      </c>
      <c r="AD5">
        <v>0.37590000000000001</v>
      </c>
      <c r="AE5">
        <v>0.52210000000000001</v>
      </c>
    </row>
    <row r="6" spans="1:31" x14ac:dyDescent="0.35">
      <c r="A6" s="8">
        <v>10</v>
      </c>
      <c r="B6" t="s">
        <v>26</v>
      </c>
      <c r="C6">
        <v>0.2442</v>
      </c>
      <c r="D6">
        <v>0.2422</v>
      </c>
      <c r="E6">
        <v>2.5399999999999999E-2</v>
      </c>
      <c r="F6">
        <v>4.0000000000000002E-4</v>
      </c>
      <c r="G6">
        <v>0.53890000000000005</v>
      </c>
      <c r="I6" s="8">
        <v>11</v>
      </c>
      <c r="J6" t="s">
        <v>26</v>
      </c>
      <c r="K6">
        <v>0.24429999999999999</v>
      </c>
      <c r="L6">
        <v>0.2422</v>
      </c>
      <c r="M6">
        <v>2.5899999999999999E-2</v>
      </c>
      <c r="N6">
        <v>0</v>
      </c>
      <c r="O6">
        <v>0.54320000000000002</v>
      </c>
      <c r="Q6" s="8">
        <v>12</v>
      </c>
      <c r="R6" t="s">
        <v>26</v>
      </c>
      <c r="S6">
        <v>0.24440000000000001</v>
      </c>
      <c r="T6">
        <v>0.24210000000000001</v>
      </c>
      <c r="U6">
        <v>2.4500000000000001E-2</v>
      </c>
      <c r="V6">
        <v>1.1999999999999999E-3</v>
      </c>
      <c r="W6">
        <v>0.58260000000000001</v>
      </c>
      <c r="Y6" s="8">
        <v>13</v>
      </c>
      <c r="Z6" t="s">
        <v>26</v>
      </c>
      <c r="AA6">
        <v>0.24560000000000001</v>
      </c>
      <c r="AB6">
        <v>0.24249999999999999</v>
      </c>
      <c r="AC6">
        <v>1.49E-2</v>
      </c>
      <c r="AD6">
        <v>0.23139999999999999</v>
      </c>
      <c r="AE6">
        <v>0.35320000000000001</v>
      </c>
    </row>
    <row r="7" spans="1:31" x14ac:dyDescent="0.35">
      <c r="A7" s="8">
        <v>10</v>
      </c>
      <c r="B7" t="s">
        <v>27</v>
      </c>
      <c r="C7">
        <v>0.24759999999999999</v>
      </c>
      <c r="D7">
        <v>0.24249999999999999</v>
      </c>
      <c r="E7">
        <v>3.6299999999999999E-2</v>
      </c>
      <c r="F7">
        <v>5.8999999999999999E-3</v>
      </c>
      <c r="G7">
        <v>0.97919999999999996</v>
      </c>
      <c r="I7" s="8">
        <v>11</v>
      </c>
      <c r="J7" t="s">
        <v>27</v>
      </c>
      <c r="K7">
        <v>0.24790000000000001</v>
      </c>
      <c r="L7">
        <v>0.24249999999999999</v>
      </c>
      <c r="M7">
        <v>3.7199999999999997E-2</v>
      </c>
      <c r="N7">
        <v>0</v>
      </c>
      <c r="O7">
        <v>0.98640000000000005</v>
      </c>
      <c r="Q7" s="8">
        <v>12</v>
      </c>
      <c r="R7" t="s">
        <v>27</v>
      </c>
      <c r="S7">
        <v>0.24679999999999999</v>
      </c>
      <c r="T7">
        <v>0.24229999999999999</v>
      </c>
      <c r="U7">
        <v>2.7799999999999998E-2</v>
      </c>
      <c r="V7">
        <v>0.01</v>
      </c>
      <c r="W7">
        <v>0.78420000000000001</v>
      </c>
      <c r="Y7" s="8">
        <v>13</v>
      </c>
      <c r="Z7" t="s">
        <v>27</v>
      </c>
      <c r="AA7">
        <v>0.24560000000000001</v>
      </c>
      <c r="AB7">
        <v>0.24249999999999999</v>
      </c>
      <c r="AC7">
        <v>1.49E-2</v>
      </c>
      <c r="AD7">
        <v>0.23139999999999999</v>
      </c>
      <c r="AE7">
        <v>0.35320000000000001</v>
      </c>
    </row>
    <row r="8" spans="1:31" x14ac:dyDescent="0.35">
      <c r="A8" s="8">
        <v>10</v>
      </c>
      <c r="B8" t="s">
        <v>28</v>
      </c>
      <c r="C8">
        <v>0.98440000000000005</v>
      </c>
      <c r="D8">
        <v>0.99780000000000002</v>
      </c>
      <c r="E8">
        <v>0.1003</v>
      </c>
      <c r="F8">
        <v>5.0000000000000001E-4</v>
      </c>
      <c r="G8">
        <v>1</v>
      </c>
      <c r="I8" s="8">
        <v>11</v>
      </c>
      <c r="J8" t="s">
        <v>28</v>
      </c>
      <c r="K8">
        <v>0.9839</v>
      </c>
      <c r="L8">
        <v>0.99839999999999995</v>
      </c>
      <c r="M8">
        <v>0.1041</v>
      </c>
      <c r="N8">
        <v>0</v>
      </c>
      <c r="O8">
        <v>1</v>
      </c>
      <c r="Q8" s="8">
        <v>12</v>
      </c>
      <c r="R8" t="s">
        <v>28</v>
      </c>
      <c r="S8">
        <v>0.98560000000000003</v>
      </c>
      <c r="T8">
        <v>0.99709999999999999</v>
      </c>
      <c r="U8">
        <v>8.7800000000000003E-2</v>
      </c>
      <c r="V8">
        <v>1.4E-3</v>
      </c>
      <c r="W8">
        <v>1</v>
      </c>
      <c r="Y8" s="8">
        <v>13</v>
      </c>
      <c r="Z8" t="s">
        <v>28</v>
      </c>
      <c r="AA8">
        <v>1</v>
      </c>
      <c r="AB8">
        <v>1</v>
      </c>
      <c r="AC8">
        <v>0</v>
      </c>
      <c r="AD8">
        <v>1</v>
      </c>
      <c r="AE8">
        <v>1</v>
      </c>
    </row>
    <row r="9" spans="1:31" x14ac:dyDescent="0.35">
      <c r="A9" s="8">
        <v>10</v>
      </c>
      <c r="B9" t="s">
        <v>29</v>
      </c>
      <c r="C9">
        <v>0.39179999999999998</v>
      </c>
      <c r="D9">
        <v>0.39</v>
      </c>
      <c r="E9">
        <v>3.5099999999999999E-2</v>
      </c>
      <c r="F9">
        <v>8.9999999999999998E-4</v>
      </c>
      <c r="G9">
        <v>0.70030000000000003</v>
      </c>
      <c r="I9" s="8">
        <v>11</v>
      </c>
      <c r="J9" t="s">
        <v>29</v>
      </c>
      <c r="K9">
        <v>0.39190000000000003</v>
      </c>
      <c r="L9">
        <v>0.39</v>
      </c>
      <c r="M9">
        <v>3.5700000000000003E-2</v>
      </c>
      <c r="N9">
        <v>0</v>
      </c>
      <c r="O9">
        <v>0.70399999999999996</v>
      </c>
      <c r="Q9" s="8">
        <v>12</v>
      </c>
      <c r="R9" t="s">
        <v>29</v>
      </c>
      <c r="S9">
        <v>0.39219999999999999</v>
      </c>
      <c r="T9">
        <v>0.38990000000000002</v>
      </c>
      <c r="U9">
        <v>3.27E-2</v>
      </c>
      <c r="V9">
        <v>2.5000000000000001E-3</v>
      </c>
      <c r="W9">
        <v>0.73629999999999995</v>
      </c>
      <c r="Y9" s="8">
        <v>13</v>
      </c>
      <c r="Z9" t="s">
        <v>29</v>
      </c>
      <c r="AA9">
        <v>0.39410000000000001</v>
      </c>
      <c r="AB9">
        <v>0.39029999999999998</v>
      </c>
      <c r="AC9">
        <v>1.84E-2</v>
      </c>
      <c r="AD9">
        <v>0.37590000000000001</v>
      </c>
      <c r="AE9">
        <v>0.52210000000000001</v>
      </c>
    </row>
    <row r="10" spans="1:31" x14ac:dyDescent="0.35">
      <c r="A10" s="8">
        <v>20</v>
      </c>
      <c r="B10" t="s">
        <v>26</v>
      </c>
      <c r="C10">
        <v>0.23230000000000001</v>
      </c>
      <c r="D10">
        <v>0.23139999999999999</v>
      </c>
      <c r="E10">
        <v>1.9599999999999999E-2</v>
      </c>
      <c r="F10">
        <v>0.1754</v>
      </c>
      <c r="G10">
        <v>0.3805</v>
      </c>
      <c r="I10" s="8">
        <v>21</v>
      </c>
      <c r="J10" t="s">
        <v>26</v>
      </c>
      <c r="K10">
        <v>0.2324</v>
      </c>
      <c r="L10">
        <v>0.2319</v>
      </c>
      <c r="M10">
        <v>1.9400000000000001E-2</v>
      </c>
      <c r="N10">
        <v>0.1744</v>
      </c>
      <c r="O10">
        <v>0.38419999999999999</v>
      </c>
      <c r="Q10" s="8">
        <v>22</v>
      </c>
      <c r="R10" t="s">
        <v>26</v>
      </c>
      <c r="S10">
        <v>0.22370000000000001</v>
      </c>
      <c r="T10">
        <v>0.2225</v>
      </c>
      <c r="U10">
        <v>1.9E-2</v>
      </c>
      <c r="V10">
        <v>0.17419999999999999</v>
      </c>
      <c r="W10">
        <v>0.45179999999999998</v>
      </c>
      <c r="Y10" s="8">
        <v>23</v>
      </c>
      <c r="Z10" t="s">
        <v>26</v>
      </c>
      <c r="AA10">
        <v>0.24560000000000001</v>
      </c>
      <c r="AB10">
        <v>0.24249999999999999</v>
      </c>
      <c r="AC10">
        <v>1.49E-2</v>
      </c>
      <c r="AD10">
        <v>0.23139999999999999</v>
      </c>
      <c r="AE10">
        <v>0.35320000000000001</v>
      </c>
    </row>
    <row r="11" spans="1:31" x14ac:dyDescent="0.35">
      <c r="A11" s="8">
        <v>20</v>
      </c>
      <c r="B11" t="s">
        <v>27</v>
      </c>
      <c r="C11">
        <v>0.2457</v>
      </c>
      <c r="D11">
        <v>0.2424</v>
      </c>
      <c r="E11">
        <v>1.9099999999999999E-2</v>
      </c>
      <c r="F11">
        <v>0.2</v>
      </c>
      <c r="G11">
        <v>0.4032</v>
      </c>
      <c r="I11" s="8">
        <v>21</v>
      </c>
      <c r="J11" t="s">
        <v>27</v>
      </c>
      <c r="K11">
        <v>0.24560000000000001</v>
      </c>
      <c r="L11">
        <v>0.24249999999999999</v>
      </c>
      <c r="M11">
        <v>1.8499999999999999E-2</v>
      </c>
      <c r="N11">
        <v>0.2001</v>
      </c>
      <c r="O11">
        <v>0.40629999999999999</v>
      </c>
      <c r="Q11" s="8">
        <v>22</v>
      </c>
      <c r="R11" t="s">
        <v>27</v>
      </c>
      <c r="S11">
        <v>0.24579999999999999</v>
      </c>
      <c r="T11">
        <v>0.2424</v>
      </c>
      <c r="U11">
        <v>2.0299999999999999E-2</v>
      </c>
      <c r="V11">
        <v>0.20169999999999999</v>
      </c>
      <c r="W11">
        <v>0.49159999999999998</v>
      </c>
      <c r="Y11" s="8">
        <v>23</v>
      </c>
      <c r="Z11" t="s">
        <v>27</v>
      </c>
      <c r="AA11">
        <v>0.24560000000000001</v>
      </c>
      <c r="AB11">
        <v>0.24249999999999999</v>
      </c>
      <c r="AC11">
        <v>1.49E-2</v>
      </c>
      <c r="AD11">
        <v>0.23139999999999999</v>
      </c>
      <c r="AE11">
        <v>0.35320000000000001</v>
      </c>
    </row>
    <row r="12" spans="1:31" x14ac:dyDescent="0.35">
      <c r="A12" s="8">
        <v>20</v>
      </c>
      <c r="B12" t="s">
        <v>28</v>
      </c>
      <c r="C12">
        <v>0.81689999999999996</v>
      </c>
      <c r="D12">
        <v>0.86450000000000005</v>
      </c>
      <c r="E12">
        <v>9.1700000000000004E-2</v>
      </c>
      <c r="F12">
        <v>0.54530000000000001</v>
      </c>
      <c r="G12">
        <v>0.93010000000000004</v>
      </c>
      <c r="I12" s="8">
        <v>21</v>
      </c>
      <c r="J12" t="s">
        <v>28</v>
      </c>
      <c r="K12">
        <v>0.81930000000000003</v>
      </c>
      <c r="L12">
        <v>0.86770000000000003</v>
      </c>
      <c r="M12">
        <v>9.3200000000000005E-2</v>
      </c>
      <c r="N12">
        <v>0.49380000000000002</v>
      </c>
      <c r="O12">
        <v>0.9355</v>
      </c>
      <c r="Q12" s="8">
        <v>22</v>
      </c>
      <c r="R12" t="s">
        <v>28</v>
      </c>
      <c r="S12">
        <v>0.71760000000000002</v>
      </c>
      <c r="T12">
        <v>0.73309999999999997</v>
      </c>
      <c r="U12">
        <v>6.5699999999999995E-2</v>
      </c>
      <c r="V12">
        <v>0.38690000000000002</v>
      </c>
      <c r="W12">
        <v>0.87060000000000004</v>
      </c>
      <c r="Y12" s="8">
        <v>23</v>
      </c>
      <c r="Z12" t="s">
        <v>28</v>
      </c>
      <c r="AA12">
        <v>1</v>
      </c>
      <c r="AB12">
        <v>1</v>
      </c>
      <c r="AC12">
        <v>0</v>
      </c>
      <c r="AD12">
        <v>1</v>
      </c>
      <c r="AE12">
        <v>1</v>
      </c>
    </row>
    <row r="13" spans="1:31" x14ac:dyDescent="0.35">
      <c r="A13" s="8">
        <v>20</v>
      </c>
      <c r="B13" t="s">
        <v>29</v>
      </c>
      <c r="C13">
        <v>0.37659999999999999</v>
      </c>
      <c r="D13">
        <v>0.37590000000000001</v>
      </c>
      <c r="E13">
        <v>2.5100000000000001E-2</v>
      </c>
      <c r="F13">
        <v>0.29849999999999999</v>
      </c>
      <c r="G13">
        <v>0.55130000000000001</v>
      </c>
      <c r="I13" s="8">
        <v>21</v>
      </c>
      <c r="J13" t="s">
        <v>29</v>
      </c>
      <c r="K13">
        <v>0.37680000000000002</v>
      </c>
      <c r="L13">
        <v>0.37640000000000001</v>
      </c>
      <c r="M13">
        <v>2.4899999999999999E-2</v>
      </c>
      <c r="N13">
        <v>0.29709999999999998</v>
      </c>
      <c r="O13">
        <v>0.55510000000000004</v>
      </c>
      <c r="Q13" s="8">
        <v>22</v>
      </c>
      <c r="R13" t="s">
        <v>29</v>
      </c>
      <c r="S13">
        <v>0.36530000000000001</v>
      </c>
      <c r="T13">
        <v>0.3639</v>
      </c>
      <c r="U13">
        <v>2.4400000000000002E-2</v>
      </c>
      <c r="V13">
        <v>0.29680000000000001</v>
      </c>
      <c r="W13">
        <v>0.62239999999999995</v>
      </c>
      <c r="Y13" s="8">
        <v>23</v>
      </c>
      <c r="Z13" t="s">
        <v>29</v>
      </c>
      <c r="AA13">
        <v>0.39410000000000001</v>
      </c>
      <c r="AB13">
        <v>0.39029999999999998</v>
      </c>
      <c r="AC13">
        <v>1.84E-2</v>
      </c>
      <c r="AD13">
        <v>0.37590000000000001</v>
      </c>
      <c r="AE13">
        <v>0.52210000000000001</v>
      </c>
    </row>
    <row r="14" spans="1:31" x14ac:dyDescent="0.35">
      <c r="A14" s="8">
        <v>30</v>
      </c>
      <c r="B14" t="s">
        <v>26</v>
      </c>
      <c r="C14">
        <v>0.21890000000000001</v>
      </c>
      <c r="D14">
        <v>0.23319999999999999</v>
      </c>
      <c r="E14">
        <v>7.5700000000000003E-2</v>
      </c>
      <c r="F14">
        <v>0</v>
      </c>
      <c r="G14">
        <v>0.57740000000000002</v>
      </c>
      <c r="I14" s="8">
        <v>31</v>
      </c>
      <c r="J14" t="s">
        <v>26</v>
      </c>
      <c r="K14">
        <v>0.2185</v>
      </c>
      <c r="L14">
        <v>0.2326</v>
      </c>
      <c r="M14">
        <v>7.5899999999999995E-2</v>
      </c>
      <c r="N14">
        <v>0</v>
      </c>
      <c r="O14">
        <v>0.5766</v>
      </c>
      <c r="Q14" s="8">
        <v>32</v>
      </c>
      <c r="R14" t="s">
        <v>26</v>
      </c>
      <c r="S14">
        <v>0.2447</v>
      </c>
      <c r="T14">
        <v>0.24229999999999999</v>
      </c>
      <c r="U14">
        <v>1.9900000000000001E-2</v>
      </c>
      <c r="V14">
        <v>2.9100000000000001E-2</v>
      </c>
      <c r="W14">
        <v>0.36030000000000001</v>
      </c>
      <c r="Y14" s="8">
        <v>33</v>
      </c>
      <c r="Z14" t="s">
        <v>26</v>
      </c>
      <c r="AA14">
        <v>0.24560000000000001</v>
      </c>
      <c r="AB14">
        <v>0.24249999999999999</v>
      </c>
      <c r="AC14">
        <v>1.49E-2</v>
      </c>
      <c r="AD14">
        <v>0.23139999999999999</v>
      </c>
      <c r="AE14">
        <v>0.35320000000000001</v>
      </c>
    </row>
    <row r="15" spans="1:31" x14ac:dyDescent="0.35">
      <c r="A15" s="8">
        <v>30</v>
      </c>
      <c r="B15" t="s">
        <v>27</v>
      </c>
      <c r="C15">
        <v>0.2596</v>
      </c>
      <c r="D15">
        <v>0.24490000000000001</v>
      </c>
      <c r="E15">
        <v>5.9499999999999997E-2</v>
      </c>
      <c r="F15">
        <v>0</v>
      </c>
      <c r="G15">
        <v>0.86709999999999998</v>
      </c>
      <c r="I15" s="8">
        <v>31</v>
      </c>
      <c r="J15" t="s">
        <v>27</v>
      </c>
      <c r="K15">
        <v>0.2596</v>
      </c>
      <c r="L15">
        <v>0.24529999999999999</v>
      </c>
      <c r="M15">
        <v>5.9700000000000003E-2</v>
      </c>
      <c r="N15">
        <v>0</v>
      </c>
      <c r="O15">
        <v>0.86119999999999997</v>
      </c>
      <c r="Q15" s="8">
        <v>32</v>
      </c>
      <c r="R15" t="s">
        <v>27</v>
      </c>
      <c r="S15">
        <v>0.24679999999999999</v>
      </c>
      <c r="T15">
        <v>0.24249999999999999</v>
      </c>
      <c r="U15">
        <v>2.12E-2</v>
      </c>
      <c r="V15">
        <v>7.6399999999999996E-2</v>
      </c>
      <c r="W15">
        <v>0.51480000000000004</v>
      </c>
      <c r="Y15" s="8">
        <v>33</v>
      </c>
      <c r="Z15" t="s">
        <v>27</v>
      </c>
      <c r="AA15">
        <v>0.24560000000000001</v>
      </c>
      <c r="AB15">
        <v>0.24249999999999999</v>
      </c>
      <c r="AC15">
        <v>1.49E-2</v>
      </c>
      <c r="AD15">
        <v>0.23139999999999999</v>
      </c>
      <c r="AE15">
        <v>0.35320000000000001</v>
      </c>
    </row>
    <row r="16" spans="1:31" x14ac:dyDescent="0.35">
      <c r="A16" s="8">
        <v>30</v>
      </c>
      <c r="B16" t="s">
        <v>28</v>
      </c>
      <c r="C16">
        <v>0.68579999999999997</v>
      </c>
      <c r="D16">
        <v>0.80010000000000003</v>
      </c>
      <c r="E16">
        <v>0.29920000000000002</v>
      </c>
      <c r="F16">
        <v>0</v>
      </c>
      <c r="G16">
        <v>0.99939999999999996</v>
      </c>
      <c r="I16" s="8">
        <v>31</v>
      </c>
      <c r="J16" t="s">
        <v>28</v>
      </c>
      <c r="K16">
        <v>0.68159999999999998</v>
      </c>
      <c r="L16">
        <v>0.79390000000000005</v>
      </c>
      <c r="M16">
        <v>0.2979</v>
      </c>
      <c r="N16">
        <v>0</v>
      </c>
      <c r="O16">
        <v>0.99939999999999996</v>
      </c>
      <c r="Q16" s="8">
        <v>32</v>
      </c>
      <c r="R16" t="s">
        <v>28</v>
      </c>
      <c r="S16">
        <v>0.98640000000000005</v>
      </c>
      <c r="T16">
        <v>0.99939999999999996</v>
      </c>
      <c r="U16">
        <v>8.6599999999999996E-2</v>
      </c>
      <c r="V16">
        <v>4.4999999999999998E-2</v>
      </c>
      <c r="W16">
        <v>1</v>
      </c>
      <c r="Y16" s="8">
        <v>33</v>
      </c>
      <c r="Z16" t="s">
        <v>28</v>
      </c>
      <c r="AA16">
        <v>1</v>
      </c>
      <c r="AB16">
        <v>1</v>
      </c>
      <c r="AC16">
        <v>0</v>
      </c>
      <c r="AD16">
        <v>1</v>
      </c>
      <c r="AE16">
        <v>1</v>
      </c>
    </row>
    <row r="17" spans="1:31" x14ac:dyDescent="0.35">
      <c r="A17" s="8">
        <v>30</v>
      </c>
      <c r="B17" t="s">
        <v>29</v>
      </c>
      <c r="C17">
        <v>0.35249999999999998</v>
      </c>
      <c r="D17">
        <v>0.37830000000000003</v>
      </c>
      <c r="E17">
        <v>0.1072</v>
      </c>
      <c r="F17">
        <v>0</v>
      </c>
      <c r="G17">
        <v>0.73209999999999997</v>
      </c>
      <c r="I17" s="8">
        <v>31</v>
      </c>
      <c r="J17" t="s">
        <v>29</v>
      </c>
      <c r="K17">
        <v>0.35199999999999998</v>
      </c>
      <c r="L17">
        <v>0.37740000000000001</v>
      </c>
      <c r="M17">
        <v>0.1075</v>
      </c>
      <c r="N17">
        <v>0</v>
      </c>
      <c r="O17">
        <v>0.73140000000000005</v>
      </c>
      <c r="Q17" s="8">
        <v>32</v>
      </c>
      <c r="R17" t="s">
        <v>29</v>
      </c>
      <c r="S17">
        <v>0.39279999999999998</v>
      </c>
      <c r="T17">
        <v>0.39</v>
      </c>
      <c r="U17">
        <v>2.5999999999999999E-2</v>
      </c>
      <c r="V17">
        <v>5.6599999999999998E-2</v>
      </c>
      <c r="W17">
        <v>0.52980000000000005</v>
      </c>
      <c r="Y17" s="8">
        <v>33</v>
      </c>
      <c r="Z17" t="s">
        <v>29</v>
      </c>
      <c r="AA17">
        <v>0.39410000000000001</v>
      </c>
      <c r="AB17">
        <v>0.39029999999999998</v>
      </c>
      <c r="AC17">
        <v>1.84E-2</v>
      </c>
      <c r="AD17">
        <v>0.37590000000000001</v>
      </c>
      <c r="AE17">
        <v>0.52210000000000001</v>
      </c>
    </row>
    <row r="18" spans="1:31" x14ac:dyDescent="0.35">
      <c r="A18" s="8">
        <v>40</v>
      </c>
      <c r="B18" t="s">
        <v>26</v>
      </c>
      <c r="C18">
        <v>0.20250000000000001</v>
      </c>
      <c r="D18">
        <v>0.2349</v>
      </c>
      <c r="E18">
        <v>8.2199999999999995E-2</v>
      </c>
      <c r="F18">
        <v>0</v>
      </c>
      <c r="G18">
        <v>0.60909999999999997</v>
      </c>
      <c r="I18" s="8">
        <v>41</v>
      </c>
      <c r="J18" t="s">
        <v>26</v>
      </c>
      <c r="K18">
        <v>0.2021</v>
      </c>
      <c r="L18">
        <v>0.23449999999999999</v>
      </c>
      <c r="M18">
        <v>8.2500000000000004E-2</v>
      </c>
      <c r="N18">
        <v>0</v>
      </c>
      <c r="O18">
        <v>0.60570000000000002</v>
      </c>
      <c r="Q18" s="8">
        <v>42</v>
      </c>
      <c r="R18" t="s">
        <v>26</v>
      </c>
      <c r="S18">
        <v>0.23719999999999999</v>
      </c>
      <c r="T18">
        <v>0.2419</v>
      </c>
      <c r="U18">
        <v>4.1500000000000002E-2</v>
      </c>
      <c r="V18">
        <v>0</v>
      </c>
      <c r="W18">
        <v>0.62350000000000005</v>
      </c>
      <c r="Y18" s="8">
        <v>43</v>
      </c>
      <c r="Z18" t="s">
        <v>26</v>
      </c>
      <c r="AA18">
        <v>0.24560000000000001</v>
      </c>
      <c r="AB18">
        <v>0.24249999999999999</v>
      </c>
      <c r="AC18">
        <v>1.49E-2</v>
      </c>
      <c r="AD18">
        <v>0.23139999999999999</v>
      </c>
      <c r="AE18">
        <v>0.35320000000000001</v>
      </c>
    </row>
    <row r="19" spans="1:31" x14ac:dyDescent="0.35">
      <c r="A19" s="8">
        <v>40</v>
      </c>
      <c r="B19" t="s">
        <v>27</v>
      </c>
      <c r="C19">
        <v>0.25469999999999998</v>
      </c>
      <c r="D19">
        <v>0.24360000000000001</v>
      </c>
      <c r="E19">
        <v>6.5100000000000005E-2</v>
      </c>
      <c r="F19">
        <v>0</v>
      </c>
      <c r="G19">
        <v>1</v>
      </c>
      <c r="I19" s="8">
        <v>41</v>
      </c>
      <c r="J19" t="s">
        <v>27</v>
      </c>
      <c r="K19">
        <v>0.25469999999999998</v>
      </c>
      <c r="L19">
        <v>0.24379999999999999</v>
      </c>
      <c r="M19">
        <v>6.5199999999999994E-2</v>
      </c>
      <c r="N19">
        <v>0</v>
      </c>
      <c r="O19">
        <v>1</v>
      </c>
      <c r="Q19" s="8">
        <v>42</v>
      </c>
      <c r="R19" t="s">
        <v>27</v>
      </c>
      <c r="S19">
        <v>0.24929999999999999</v>
      </c>
      <c r="T19">
        <v>0.2427</v>
      </c>
      <c r="U19">
        <v>4.2999999999999997E-2</v>
      </c>
      <c r="V19">
        <v>0</v>
      </c>
      <c r="W19">
        <v>0.9909</v>
      </c>
      <c r="Y19" s="8">
        <v>43</v>
      </c>
      <c r="Z19" t="s">
        <v>27</v>
      </c>
      <c r="AA19">
        <v>0.24560000000000001</v>
      </c>
      <c r="AB19">
        <v>0.24249999999999999</v>
      </c>
      <c r="AC19">
        <v>1.49E-2</v>
      </c>
      <c r="AD19">
        <v>0.23139999999999999</v>
      </c>
      <c r="AE19">
        <v>0.35320000000000001</v>
      </c>
    </row>
    <row r="20" spans="1:31" x14ac:dyDescent="0.35">
      <c r="A20" s="8">
        <v>40</v>
      </c>
      <c r="B20" t="s">
        <v>28</v>
      </c>
      <c r="C20">
        <v>0.67779999999999996</v>
      </c>
      <c r="D20">
        <v>0.8831</v>
      </c>
      <c r="E20">
        <v>0.35949999999999999</v>
      </c>
      <c r="F20">
        <v>0</v>
      </c>
      <c r="G20">
        <v>1</v>
      </c>
      <c r="I20" s="8">
        <v>41</v>
      </c>
      <c r="J20" t="s">
        <v>28</v>
      </c>
      <c r="K20">
        <v>0.67269999999999996</v>
      </c>
      <c r="L20">
        <v>0.87670000000000003</v>
      </c>
      <c r="M20">
        <v>0.35920000000000002</v>
      </c>
      <c r="N20">
        <v>0</v>
      </c>
      <c r="O20">
        <v>1</v>
      </c>
      <c r="Q20" s="8">
        <v>42</v>
      </c>
      <c r="R20" t="s">
        <v>28</v>
      </c>
      <c r="S20">
        <v>0.92969999999999997</v>
      </c>
      <c r="T20">
        <v>0.99880000000000002</v>
      </c>
      <c r="U20">
        <v>0.2112</v>
      </c>
      <c r="V20">
        <v>0</v>
      </c>
      <c r="W20">
        <v>1</v>
      </c>
      <c r="Y20" s="8">
        <v>43</v>
      </c>
      <c r="Z20" t="s">
        <v>28</v>
      </c>
      <c r="AA20">
        <v>1</v>
      </c>
      <c r="AB20">
        <v>1</v>
      </c>
      <c r="AC20">
        <v>0</v>
      </c>
      <c r="AD20">
        <v>1</v>
      </c>
      <c r="AE20">
        <v>1</v>
      </c>
    </row>
    <row r="21" spans="1:31" x14ac:dyDescent="0.35">
      <c r="A21" s="8">
        <v>40</v>
      </c>
      <c r="B21" t="s">
        <v>29</v>
      </c>
      <c r="C21">
        <v>0.3286</v>
      </c>
      <c r="D21">
        <v>0.38040000000000002</v>
      </c>
      <c r="E21">
        <v>0.12130000000000001</v>
      </c>
      <c r="F21">
        <v>0</v>
      </c>
      <c r="G21">
        <v>0.7571</v>
      </c>
      <c r="I21" s="8">
        <v>41</v>
      </c>
      <c r="J21" t="s">
        <v>29</v>
      </c>
      <c r="K21">
        <v>0.32790000000000002</v>
      </c>
      <c r="L21">
        <v>0.37990000000000002</v>
      </c>
      <c r="M21">
        <v>0.1217</v>
      </c>
      <c r="N21">
        <v>0</v>
      </c>
      <c r="O21">
        <v>0.75439999999999996</v>
      </c>
      <c r="Q21" s="8">
        <v>42</v>
      </c>
      <c r="R21" t="s">
        <v>29</v>
      </c>
      <c r="S21">
        <v>0.38150000000000001</v>
      </c>
      <c r="T21">
        <v>0.38950000000000001</v>
      </c>
      <c r="U21">
        <v>5.91E-2</v>
      </c>
      <c r="V21">
        <v>0</v>
      </c>
      <c r="W21">
        <v>0.7681</v>
      </c>
      <c r="Y21" s="8">
        <v>43</v>
      </c>
      <c r="Z21" t="s">
        <v>29</v>
      </c>
      <c r="AA21">
        <v>0.39410000000000001</v>
      </c>
      <c r="AB21">
        <v>0.39029999999999998</v>
      </c>
      <c r="AC21">
        <v>1.84E-2</v>
      </c>
      <c r="AD21">
        <v>0.37590000000000001</v>
      </c>
      <c r="AE21">
        <v>0.52210000000000001</v>
      </c>
    </row>
    <row r="22" spans="1:31" x14ac:dyDescent="0.35">
      <c r="A22" s="9">
        <v>100</v>
      </c>
      <c r="B22" t="s">
        <v>26</v>
      </c>
      <c r="C22">
        <v>0.20930000000000001</v>
      </c>
      <c r="D22">
        <v>0.2268</v>
      </c>
      <c r="E22">
        <v>8.2100000000000006E-2</v>
      </c>
      <c r="F22">
        <v>0</v>
      </c>
      <c r="G22">
        <v>0.61970000000000003</v>
      </c>
      <c r="I22" s="9">
        <v>101</v>
      </c>
      <c r="J22" t="s">
        <v>26</v>
      </c>
      <c r="K22">
        <v>0.20930000000000001</v>
      </c>
      <c r="L22">
        <v>0.2271</v>
      </c>
      <c r="M22">
        <v>8.2199999999999995E-2</v>
      </c>
      <c r="N22">
        <v>0</v>
      </c>
      <c r="O22">
        <v>0.61880000000000002</v>
      </c>
      <c r="Q22" s="9">
        <v>102</v>
      </c>
      <c r="R22" t="s">
        <v>26</v>
      </c>
      <c r="S22">
        <v>0.23960000000000001</v>
      </c>
      <c r="T22">
        <v>0.2419</v>
      </c>
      <c r="U22">
        <v>3.39E-2</v>
      </c>
      <c r="V22">
        <v>2.0000000000000001E-4</v>
      </c>
      <c r="W22">
        <v>0.55589999999999995</v>
      </c>
      <c r="Y22" s="9">
        <v>103</v>
      </c>
      <c r="Z22" t="s">
        <v>26</v>
      </c>
      <c r="AA22">
        <v>0.24560000000000001</v>
      </c>
      <c r="AB22">
        <v>0.24249999999999999</v>
      </c>
      <c r="AC22">
        <v>1.49E-2</v>
      </c>
      <c r="AD22">
        <v>0.23139999999999999</v>
      </c>
      <c r="AE22">
        <v>0.35320000000000001</v>
      </c>
    </row>
    <row r="23" spans="1:31" x14ac:dyDescent="0.35">
      <c r="A23" s="9">
        <v>100</v>
      </c>
      <c r="B23" t="s">
        <v>27</v>
      </c>
      <c r="C23">
        <v>0.25979999999999998</v>
      </c>
      <c r="D23">
        <v>0.2452</v>
      </c>
      <c r="E23">
        <v>6.5799999999999997E-2</v>
      </c>
      <c r="F23">
        <v>0</v>
      </c>
      <c r="G23">
        <v>0.95179999999999998</v>
      </c>
      <c r="I23" s="9">
        <v>101</v>
      </c>
      <c r="J23" t="s">
        <v>27</v>
      </c>
      <c r="K23">
        <v>0.26</v>
      </c>
      <c r="L23">
        <v>0.24529999999999999</v>
      </c>
      <c r="M23">
        <v>6.59E-2</v>
      </c>
      <c r="N23">
        <v>0</v>
      </c>
      <c r="O23">
        <v>0.95179999999999998</v>
      </c>
      <c r="Q23" s="9">
        <v>102</v>
      </c>
      <c r="R23" t="s">
        <v>27</v>
      </c>
      <c r="S23">
        <v>0.2477</v>
      </c>
      <c r="T23">
        <v>0.24260000000000001</v>
      </c>
      <c r="U23">
        <v>3.1099999999999999E-2</v>
      </c>
      <c r="V23">
        <v>8.0000000000000004E-4</v>
      </c>
      <c r="W23">
        <v>0.66369999999999996</v>
      </c>
      <c r="Y23" s="9">
        <v>103</v>
      </c>
      <c r="Z23" t="s">
        <v>27</v>
      </c>
      <c r="AA23">
        <v>0.24560000000000001</v>
      </c>
      <c r="AB23">
        <v>0.24249999999999999</v>
      </c>
      <c r="AC23">
        <v>1.49E-2</v>
      </c>
      <c r="AD23">
        <v>0.23139999999999999</v>
      </c>
      <c r="AE23">
        <v>0.35320000000000001</v>
      </c>
    </row>
    <row r="24" spans="1:31" x14ac:dyDescent="0.35">
      <c r="A24" s="9">
        <v>100</v>
      </c>
      <c r="B24" t="s">
        <v>28</v>
      </c>
      <c r="C24">
        <v>0.63260000000000005</v>
      </c>
      <c r="D24">
        <v>0.75160000000000005</v>
      </c>
      <c r="E24">
        <v>0.31140000000000001</v>
      </c>
      <c r="F24">
        <v>0</v>
      </c>
      <c r="G24">
        <v>0.99980000000000002</v>
      </c>
      <c r="I24" s="9">
        <v>101</v>
      </c>
      <c r="J24" t="s">
        <v>28</v>
      </c>
      <c r="K24">
        <v>0.63049999999999995</v>
      </c>
      <c r="L24">
        <v>0.75849999999999995</v>
      </c>
      <c r="M24">
        <v>0.30969999999999998</v>
      </c>
      <c r="N24">
        <v>0</v>
      </c>
      <c r="O24">
        <v>0.99919999999999998</v>
      </c>
      <c r="Q24" s="9">
        <v>102</v>
      </c>
      <c r="R24" t="s">
        <v>28</v>
      </c>
      <c r="S24">
        <v>0.94830000000000003</v>
      </c>
      <c r="T24">
        <v>0.99939999999999996</v>
      </c>
      <c r="U24">
        <v>0.17879999999999999</v>
      </c>
      <c r="V24">
        <v>4.0000000000000002E-4</v>
      </c>
      <c r="W24">
        <v>1</v>
      </c>
      <c r="Y24" s="9">
        <v>103</v>
      </c>
      <c r="Z24" t="s">
        <v>28</v>
      </c>
      <c r="AA24">
        <v>1</v>
      </c>
      <c r="AB24">
        <v>1</v>
      </c>
      <c r="AC24">
        <v>0</v>
      </c>
      <c r="AD24">
        <v>1</v>
      </c>
      <c r="AE24">
        <v>1</v>
      </c>
    </row>
    <row r="25" spans="1:31" x14ac:dyDescent="0.35">
      <c r="A25" s="9">
        <v>100</v>
      </c>
      <c r="B25" t="s">
        <v>29</v>
      </c>
      <c r="C25">
        <v>0.3382</v>
      </c>
      <c r="D25">
        <v>0.36980000000000002</v>
      </c>
      <c r="E25">
        <v>0.11749999999999999</v>
      </c>
      <c r="F25">
        <v>0</v>
      </c>
      <c r="G25">
        <v>0.76519999999999999</v>
      </c>
      <c r="I25" s="9">
        <v>101</v>
      </c>
      <c r="J25" t="s">
        <v>29</v>
      </c>
      <c r="K25">
        <v>0.33810000000000001</v>
      </c>
      <c r="L25">
        <v>0.37009999999999998</v>
      </c>
      <c r="M25">
        <v>0.1176</v>
      </c>
      <c r="N25">
        <v>0</v>
      </c>
      <c r="O25">
        <v>0.76449999999999996</v>
      </c>
      <c r="Q25" s="9">
        <v>102</v>
      </c>
      <c r="R25" t="s">
        <v>29</v>
      </c>
      <c r="S25">
        <v>0.38529999999999998</v>
      </c>
      <c r="T25">
        <v>0.3896</v>
      </c>
      <c r="U25">
        <v>4.8000000000000001E-2</v>
      </c>
      <c r="V25">
        <v>5.0000000000000001E-4</v>
      </c>
      <c r="W25">
        <v>0.71460000000000001</v>
      </c>
      <c r="Y25" s="9">
        <v>103</v>
      </c>
      <c r="Z25" t="s">
        <v>29</v>
      </c>
      <c r="AA25">
        <v>0.39410000000000001</v>
      </c>
      <c r="AB25">
        <v>0.39029999999999998</v>
      </c>
      <c r="AC25">
        <v>1.84E-2</v>
      </c>
      <c r="AD25">
        <v>0.37590000000000001</v>
      </c>
      <c r="AE25">
        <v>0.52210000000000001</v>
      </c>
    </row>
    <row r="26" spans="1:31" x14ac:dyDescent="0.35">
      <c r="A26" s="9">
        <v>110</v>
      </c>
      <c r="B26" t="s">
        <v>26</v>
      </c>
      <c r="C26">
        <v>0.24590000000000001</v>
      </c>
      <c r="D26">
        <v>0.2422</v>
      </c>
      <c r="E26">
        <v>1.6E-2</v>
      </c>
      <c r="F26">
        <v>0.22109999999999999</v>
      </c>
      <c r="G26">
        <v>0.3553</v>
      </c>
      <c r="I26" s="9">
        <v>111</v>
      </c>
      <c r="J26" t="s">
        <v>26</v>
      </c>
      <c r="K26">
        <v>0.24590000000000001</v>
      </c>
      <c r="L26">
        <v>0.24229999999999999</v>
      </c>
      <c r="M26">
        <v>1.5900000000000001E-2</v>
      </c>
      <c r="N26">
        <v>0.2172</v>
      </c>
      <c r="O26">
        <v>0.35410000000000003</v>
      </c>
      <c r="Q26" s="9">
        <v>112</v>
      </c>
      <c r="R26" t="s">
        <v>26</v>
      </c>
      <c r="S26">
        <v>0.24560000000000001</v>
      </c>
      <c r="T26">
        <v>0.24229999999999999</v>
      </c>
      <c r="U26">
        <v>1.5599999999999999E-2</v>
      </c>
      <c r="V26">
        <v>0.2258</v>
      </c>
      <c r="W26">
        <v>0.35110000000000002</v>
      </c>
      <c r="Y26" s="9">
        <v>113</v>
      </c>
      <c r="Z26" t="s">
        <v>26</v>
      </c>
      <c r="AA26">
        <v>0.24560000000000001</v>
      </c>
      <c r="AB26">
        <v>0.24249999999999999</v>
      </c>
      <c r="AC26">
        <v>1.49E-2</v>
      </c>
      <c r="AD26">
        <v>0.23139999999999999</v>
      </c>
      <c r="AE26">
        <v>0.35320000000000001</v>
      </c>
    </row>
    <row r="27" spans="1:31" x14ac:dyDescent="0.35">
      <c r="A27" s="9">
        <v>110</v>
      </c>
      <c r="B27" t="s">
        <v>27</v>
      </c>
      <c r="C27">
        <v>0.24610000000000001</v>
      </c>
      <c r="D27">
        <v>0.2424</v>
      </c>
      <c r="E27">
        <v>1.66E-2</v>
      </c>
      <c r="F27">
        <v>0.22320000000000001</v>
      </c>
      <c r="G27">
        <v>0.43840000000000001</v>
      </c>
      <c r="I27" s="9">
        <v>111</v>
      </c>
      <c r="J27" t="s">
        <v>27</v>
      </c>
      <c r="K27">
        <v>0.2462</v>
      </c>
      <c r="L27">
        <v>0.2424</v>
      </c>
      <c r="M27">
        <v>1.6500000000000001E-2</v>
      </c>
      <c r="N27">
        <v>0.22370000000000001</v>
      </c>
      <c r="O27">
        <v>0.45479999999999998</v>
      </c>
      <c r="Q27" s="9">
        <v>112</v>
      </c>
      <c r="R27" t="s">
        <v>27</v>
      </c>
      <c r="S27">
        <v>0.24579999999999999</v>
      </c>
      <c r="T27">
        <v>0.24249999999999999</v>
      </c>
      <c r="U27">
        <v>1.5599999999999999E-2</v>
      </c>
      <c r="V27">
        <v>0.22600000000000001</v>
      </c>
      <c r="W27">
        <v>0.35149999999999998</v>
      </c>
      <c r="Y27" s="9">
        <v>113</v>
      </c>
      <c r="Z27" t="s">
        <v>27</v>
      </c>
      <c r="AA27">
        <v>0.24560000000000001</v>
      </c>
      <c r="AB27">
        <v>0.24249999999999999</v>
      </c>
      <c r="AC27">
        <v>1.49E-2</v>
      </c>
      <c r="AD27">
        <v>0.23139999999999999</v>
      </c>
      <c r="AE27">
        <v>0.35320000000000001</v>
      </c>
    </row>
    <row r="28" spans="1:31" x14ac:dyDescent="0.35">
      <c r="A28" s="9">
        <v>110</v>
      </c>
      <c r="B28" t="s">
        <v>28</v>
      </c>
      <c r="C28">
        <v>0.997</v>
      </c>
      <c r="D28">
        <v>0.99780000000000002</v>
      </c>
      <c r="E28">
        <v>1.38E-2</v>
      </c>
      <c r="F28">
        <v>0.41560000000000002</v>
      </c>
      <c r="G28">
        <v>1</v>
      </c>
      <c r="I28" s="9">
        <v>111</v>
      </c>
      <c r="J28" t="s">
        <v>28</v>
      </c>
      <c r="K28">
        <v>0.99750000000000005</v>
      </c>
      <c r="L28">
        <v>0.99829999999999997</v>
      </c>
      <c r="M28">
        <v>1.41E-2</v>
      </c>
      <c r="N28">
        <v>0.41439999999999999</v>
      </c>
      <c r="O28">
        <v>1</v>
      </c>
      <c r="Q28" s="9">
        <v>112</v>
      </c>
      <c r="R28" t="s">
        <v>28</v>
      </c>
      <c r="S28">
        <v>0.99690000000000001</v>
      </c>
      <c r="T28">
        <v>0.997</v>
      </c>
      <c r="U28">
        <v>1.6999999999999999E-3</v>
      </c>
      <c r="V28">
        <v>0.97109999999999996</v>
      </c>
      <c r="W28">
        <v>1</v>
      </c>
      <c r="Y28" s="9">
        <v>113</v>
      </c>
      <c r="Z28" t="s">
        <v>28</v>
      </c>
      <c r="AA28">
        <v>1</v>
      </c>
      <c r="AB28">
        <v>1</v>
      </c>
      <c r="AC28">
        <v>0</v>
      </c>
      <c r="AD28">
        <v>1</v>
      </c>
      <c r="AE28">
        <v>1</v>
      </c>
    </row>
    <row r="29" spans="1:31" x14ac:dyDescent="0.35">
      <c r="A29" s="9">
        <v>110</v>
      </c>
      <c r="B29" t="s">
        <v>29</v>
      </c>
      <c r="C29">
        <v>0.39450000000000002</v>
      </c>
      <c r="D29">
        <v>0.39</v>
      </c>
      <c r="E29">
        <v>1.9699999999999999E-2</v>
      </c>
      <c r="F29">
        <v>0.36209999999999998</v>
      </c>
      <c r="G29">
        <v>0.52429999999999999</v>
      </c>
      <c r="I29" s="9">
        <v>111</v>
      </c>
      <c r="J29" t="s">
        <v>29</v>
      </c>
      <c r="K29">
        <v>0.39450000000000002</v>
      </c>
      <c r="L29">
        <v>0.3901</v>
      </c>
      <c r="M29">
        <v>1.9599999999999999E-2</v>
      </c>
      <c r="N29">
        <v>0.35680000000000001</v>
      </c>
      <c r="O29">
        <v>0.52300000000000002</v>
      </c>
      <c r="Q29" s="9">
        <v>112</v>
      </c>
      <c r="R29" t="s">
        <v>29</v>
      </c>
      <c r="S29">
        <v>0.39410000000000001</v>
      </c>
      <c r="T29">
        <v>0.3901</v>
      </c>
      <c r="U29">
        <v>1.9300000000000001E-2</v>
      </c>
      <c r="V29">
        <v>0.36840000000000001</v>
      </c>
      <c r="W29">
        <v>0.51970000000000005</v>
      </c>
      <c r="Y29" s="9">
        <v>113</v>
      </c>
      <c r="Z29" t="s">
        <v>29</v>
      </c>
      <c r="AA29">
        <v>0.39410000000000001</v>
      </c>
      <c r="AB29">
        <v>0.39029999999999998</v>
      </c>
      <c r="AC29">
        <v>1.84E-2</v>
      </c>
      <c r="AD29">
        <v>0.37590000000000001</v>
      </c>
      <c r="AE29">
        <v>0.52210000000000001</v>
      </c>
    </row>
    <row r="30" spans="1:31" x14ac:dyDescent="0.35">
      <c r="A30" s="9">
        <v>120</v>
      </c>
      <c r="B30" t="s">
        <v>26</v>
      </c>
      <c r="C30">
        <v>0.2319</v>
      </c>
      <c r="D30">
        <v>0.23180000000000001</v>
      </c>
      <c r="E30">
        <v>1.8599999999999998E-2</v>
      </c>
      <c r="F30">
        <v>0.15190000000000001</v>
      </c>
      <c r="G30">
        <v>0.34150000000000003</v>
      </c>
      <c r="I30" s="9">
        <v>121</v>
      </c>
      <c r="J30" t="s">
        <v>26</v>
      </c>
      <c r="K30">
        <v>0.2319</v>
      </c>
      <c r="L30">
        <v>0.23169999999999999</v>
      </c>
      <c r="M30">
        <v>1.8700000000000001E-2</v>
      </c>
      <c r="N30">
        <v>0.16850000000000001</v>
      </c>
      <c r="O30">
        <v>0.3362</v>
      </c>
      <c r="Q30" s="9">
        <v>122</v>
      </c>
      <c r="R30" t="s">
        <v>26</v>
      </c>
      <c r="S30">
        <v>0.2228</v>
      </c>
      <c r="T30">
        <v>0.22170000000000001</v>
      </c>
      <c r="U30">
        <v>1.72E-2</v>
      </c>
      <c r="V30">
        <v>0.1641</v>
      </c>
      <c r="W30">
        <v>0.33050000000000002</v>
      </c>
      <c r="Y30" s="9">
        <v>123</v>
      </c>
      <c r="Z30" t="s">
        <v>26</v>
      </c>
      <c r="AA30">
        <v>0.24560000000000001</v>
      </c>
      <c r="AB30">
        <v>0.24249999999999999</v>
      </c>
      <c r="AC30">
        <v>1.49E-2</v>
      </c>
      <c r="AD30">
        <v>0.23139999999999999</v>
      </c>
      <c r="AE30">
        <v>0.35320000000000001</v>
      </c>
    </row>
    <row r="31" spans="1:31" x14ac:dyDescent="0.35">
      <c r="A31" s="9">
        <v>120</v>
      </c>
      <c r="B31" t="s">
        <v>27</v>
      </c>
      <c r="C31">
        <v>0.24540000000000001</v>
      </c>
      <c r="D31">
        <v>0.2424</v>
      </c>
      <c r="E31">
        <v>1.77E-2</v>
      </c>
      <c r="F31">
        <v>0.17230000000000001</v>
      </c>
      <c r="G31">
        <v>0.35749999999999998</v>
      </c>
      <c r="I31" s="9">
        <v>121</v>
      </c>
      <c r="J31" t="s">
        <v>27</v>
      </c>
      <c r="K31">
        <v>0.2452</v>
      </c>
      <c r="L31">
        <v>0.2422</v>
      </c>
      <c r="M31">
        <v>1.77E-2</v>
      </c>
      <c r="N31">
        <v>0.19489999999999999</v>
      </c>
      <c r="O31">
        <v>0.35239999999999999</v>
      </c>
      <c r="Q31" s="9">
        <v>122</v>
      </c>
      <c r="R31" t="s">
        <v>27</v>
      </c>
      <c r="S31">
        <v>0.24529999999999999</v>
      </c>
      <c r="T31">
        <v>0.24249999999999999</v>
      </c>
      <c r="U31">
        <v>1.84E-2</v>
      </c>
      <c r="V31">
        <v>0.19339999999999999</v>
      </c>
      <c r="W31">
        <v>0.36649999999999999</v>
      </c>
      <c r="Y31" s="9">
        <v>123</v>
      </c>
      <c r="Z31" t="s">
        <v>27</v>
      </c>
      <c r="AA31">
        <v>0.24560000000000001</v>
      </c>
      <c r="AB31">
        <v>0.24249999999999999</v>
      </c>
      <c r="AC31">
        <v>1.49E-2</v>
      </c>
      <c r="AD31">
        <v>0.23139999999999999</v>
      </c>
      <c r="AE31">
        <v>0.35320000000000001</v>
      </c>
    </row>
    <row r="32" spans="1:31" x14ac:dyDescent="0.35">
      <c r="A32" s="9">
        <v>120</v>
      </c>
      <c r="B32" t="s">
        <v>28</v>
      </c>
      <c r="C32">
        <v>0.81569999999999998</v>
      </c>
      <c r="D32">
        <v>0.86460000000000004</v>
      </c>
      <c r="E32">
        <v>9.3799999999999994E-2</v>
      </c>
      <c r="F32">
        <v>0.52559999999999996</v>
      </c>
      <c r="G32">
        <v>0.93179999999999996</v>
      </c>
      <c r="I32" s="9">
        <v>121</v>
      </c>
      <c r="J32" t="s">
        <v>28</v>
      </c>
      <c r="K32">
        <v>0.81810000000000005</v>
      </c>
      <c r="L32">
        <v>0.86719999999999997</v>
      </c>
      <c r="M32">
        <v>9.4399999999999998E-2</v>
      </c>
      <c r="N32">
        <v>0.52849999999999997</v>
      </c>
      <c r="O32">
        <v>0.93340000000000001</v>
      </c>
      <c r="Q32" s="9">
        <v>122</v>
      </c>
      <c r="R32" t="s">
        <v>28</v>
      </c>
      <c r="S32">
        <v>0.71179999999999999</v>
      </c>
      <c r="T32">
        <v>0.72609999999999997</v>
      </c>
      <c r="U32">
        <v>6.3600000000000004E-2</v>
      </c>
      <c r="V32">
        <v>0.45429999999999998</v>
      </c>
      <c r="W32">
        <v>0.87070000000000003</v>
      </c>
      <c r="Y32" s="9">
        <v>123</v>
      </c>
      <c r="Z32" t="s">
        <v>28</v>
      </c>
      <c r="AA32">
        <v>1</v>
      </c>
      <c r="AB32">
        <v>1</v>
      </c>
      <c r="AC32">
        <v>0</v>
      </c>
      <c r="AD32">
        <v>1</v>
      </c>
      <c r="AE32">
        <v>1</v>
      </c>
    </row>
    <row r="33" spans="1:31" x14ac:dyDescent="0.35">
      <c r="A33" s="9">
        <v>120</v>
      </c>
      <c r="B33" t="s">
        <v>29</v>
      </c>
      <c r="C33">
        <v>0.37609999999999999</v>
      </c>
      <c r="D33">
        <v>0.37630000000000002</v>
      </c>
      <c r="E33">
        <v>2.4E-2</v>
      </c>
      <c r="F33">
        <v>0.26379999999999998</v>
      </c>
      <c r="G33">
        <v>0.50919999999999999</v>
      </c>
      <c r="I33" s="9">
        <v>121</v>
      </c>
      <c r="J33" t="s">
        <v>29</v>
      </c>
      <c r="K33">
        <v>0.37609999999999999</v>
      </c>
      <c r="L33">
        <v>0.37619999999999998</v>
      </c>
      <c r="M33">
        <v>2.4199999999999999E-2</v>
      </c>
      <c r="N33">
        <v>0.28839999999999999</v>
      </c>
      <c r="O33">
        <v>0.50319999999999998</v>
      </c>
      <c r="Q33" s="9">
        <v>122</v>
      </c>
      <c r="R33" t="s">
        <v>29</v>
      </c>
      <c r="S33">
        <v>0.36399999999999999</v>
      </c>
      <c r="T33">
        <v>0.3629</v>
      </c>
      <c r="U33">
        <v>2.2599999999999999E-2</v>
      </c>
      <c r="V33">
        <v>0.28189999999999998</v>
      </c>
      <c r="W33">
        <v>0.49680000000000002</v>
      </c>
      <c r="Y33" s="9">
        <v>123</v>
      </c>
      <c r="Z33" t="s">
        <v>29</v>
      </c>
      <c r="AA33">
        <v>0.39410000000000001</v>
      </c>
      <c r="AB33">
        <v>0.39029999999999998</v>
      </c>
      <c r="AC33">
        <v>1.84E-2</v>
      </c>
      <c r="AD33">
        <v>0.37590000000000001</v>
      </c>
      <c r="AE33">
        <v>0.52210000000000001</v>
      </c>
    </row>
    <row r="34" spans="1:31" x14ac:dyDescent="0.35">
      <c r="A34" s="9">
        <v>130</v>
      </c>
      <c r="B34" t="s">
        <v>26</v>
      </c>
      <c r="C34">
        <v>0.2228</v>
      </c>
      <c r="D34">
        <v>0.23499999999999999</v>
      </c>
      <c r="E34">
        <v>7.1199999999999999E-2</v>
      </c>
      <c r="F34">
        <v>0</v>
      </c>
      <c r="G34">
        <v>0.54559999999999997</v>
      </c>
      <c r="I34" s="9">
        <v>131</v>
      </c>
      <c r="J34" t="s">
        <v>26</v>
      </c>
      <c r="K34">
        <v>0.22189999999999999</v>
      </c>
      <c r="L34">
        <v>0.2349</v>
      </c>
      <c r="M34">
        <v>7.1999999999999995E-2</v>
      </c>
      <c r="N34">
        <v>0</v>
      </c>
      <c r="O34">
        <v>0.54910000000000003</v>
      </c>
      <c r="Q34" s="9">
        <v>132</v>
      </c>
      <c r="R34" t="s">
        <v>26</v>
      </c>
      <c r="S34">
        <v>0.24540000000000001</v>
      </c>
      <c r="T34">
        <v>0.2422</v>
      </c>
      <c r="U34">
        <v>1.66E-2</v>
      </c>
      <c r="V34">
        <v>0.12740000000000001</v>
      </c>
      <c r="W34">
        <v>0.35420000000000001</v>
      </c>
      <c r="Y34" s="9">
        <v>133</v>
      </c>
      <c r="Z34" t="s">
        <v>26</v>
      </c>
      <c r="AA34">
        <v>0.24560000000000001</v>
      </c>
      <c r="AB34">
        <v>0.24249999999999999</v>
      </c>
      <c r="AC34">
        <v>1.49E-2</v>
      </c>
      <c r="AD34">
        <v>0.23139999999999999</v>
      </c>
      <c r="AE34">
        <v>0.35320000000000001</v>
      </c>
    </row>
    <row r="35" spans="1:31" x14ac:dyDescent="0.35">
      <c r="A35" s="9">
        <v>130</v>
      </c>
      <c r="B35" t="s">
        <v>27</v>
      </c>
      <c r="C35">
        <v>0.25919999999999999</v>
      </c>
      <c r="D35">
        <v>0.245</v>
      </c>
      <c r="E35">
        <v>5.4899999999999997E-2</v>
      </c>
      <c r="F35">
        <v>0</v>
      </c>
      <c r="G35">
        <v>0.73609999999999998</v>
      </c>
      <c r="I35" s="9">
        <v>131</v>
      </c>
      <c r="J35" t="s">
        <v>27</v>
      </c>
      <c r="K35">
        <v>0.2591</v>
      </c>
      <c r="L35">
        <v>0.245</v>
      </c>
      <c r="M35">
        <v>5.5899999999999998E-2</v>
      </c>
      <c r="N35">
        <v>0</v>
      </c>
      <c r="O35">
        <v>0.73660000000000003</v>
      </c>
      <c r="Q35" s="9">
        <v>132</v>
      </c>
      <c r="R35" t="s">
        <v>27</v>
      </c>
      <c r="S35">
        <v>0.24610000000000001</v>
      </c>
      <c r="T35">
        <v>0.2424</v>
      </c>
      <c r="U35">
        <v>1.67E-2</v>
      </c>
      <c r="V35">
        <v>0.22339999999999999</v>
      </c>
      <c r="W35">
        <v>0.41270000000000001</v>
      </c>
      <c r="Y35" s="9">
        <v>133</v>
      </c>
      <c r="Z35" t="s">
        <v>27</v>
      </c>
      <c r="AA35">
        <v>0.24560000000000001</v>
      </c>
      <c r="AB35">
        <v>0.24249999999999999</v>
      </c>
      <c r="AC35">
        <v>1.49E-2</v>
      </c>
      <c r="AD35">
        <v>0.23139999999999999</v>
      </c>
      <c r="AE35">
        <v>0.35320000000000001</v>
      </c>
    </row>
    <row r="36" spans="1:31" x14ac:dyDescent="0.35">
      <c r="A36" s="9">
        <v>130</v>
      </c>
      <c r="B36" t="s">
        <v>28</v>
      </c>
      <c r="C36">
        <v>0.71330000000000005</v>
      </c>
      <c r="D36">
        <v>0.82320000000000004</v>
      </c>
      <c r="E36">
        <v>0.29020000000000001</v>
      </c>
      <c r="F36">
        <v>0</v>
      </c>
      <c r="G36">
        <v>0.99909999999999999</v>
      </c>
      <c r="I36" s="9">
        <v>131</v>
      </c>
      <c r="J36" t="s">
        <v>28</v>
      </c>
      <c r="K36">
        <v>0.70589999999999997</v>
      </c>
      <c r="L36">
        <v>0.81689999999999996</v>
      </c>
      <c r="M36">
        <v>0.29060000000000002</v>
      </c>
      <c r="N36">
        <v>0</v>
      </c>
      <c r="O36">
        <v>0.999</v>
      </c>
      <c r="Q36" s="9">
        <v>132</v>
      </c>
      <c r="R36" t="s">
        <v>28</v>
      </c>
      <c r="S36">
        <v>0.99380000000000002</v>
      </c>
      <c r="T36">
        <v>0.99929999999999997</v>
      </c>
      <c r="U36">
        <v>4.9700000000000001E-2</v>
      </c>
      <c r="V36">
        <v>0.20399999999999999</v>
      </c>
      <c r="W36">
        <v>1</v>
      </c>
      <c r="Y36" s="9">
        <v>133</v>
      </c>
      <c r="Z36" t="s">
        <v>28</v>
      </c>
      <c r="AA36">
        <v>1</v>
      </c>
      <c r="AB36">
        <v>1</v>
      </c>
      <c r="AC36">
        <v>0</v>
      </c>
      <c r="AD36">
        <v>1</v>
      </c>
      <c r="AE36">
        <v>1</v>
      </c>
    </row>
    <row r="37" spans="1:31" x14ac:dyDescent="0.35">
      <c r="A37" s="9">
        <v>130</v>
      </c>
      <c r="B37" t="s">
        <v>29</v>
      </c>
      <c r="C37">
        <v>0.35859999999999997</v>
      </c>
      <c r="D37">
        <v>0.3805</v>
      </c>
      <c r="E37">
        <v>0.10050000000000001</v>
      </c>
      <c r="F37">
        <v>0</v>
      </c>
      <c r="G37">
        <v>0.70599999999999996</v>
      </c>
      <c r="I37" s="9">
        <v>131</v>
      </c>
      <c r="J37" t="s">
        <v>29</v>
      </c>
      <c r="K37">
        <v>0.35720000000000002</v>
      </c>
      <c r="L37">
        <v>0.38040000000000002</v>
      </c>
      <c r="M37">
        <v>0.1017</v>
      </c>
      <c r="N37">
        <v>0</v>
      </c>
      <c r="O37">
        <v>0.70899999999999996</v>
      </c>
      <c r="Q37" s="9">
        <v>132</v>
      </c>
      <c r="R37" t="s">
        <v>29</v>
      </c>
      <c r="S37">
        <v>0.39379999999999998</v>
      </c>
      <c r="T37">
        <v>0.39</v>
      </c>
      <c r="U37">
        <v>2.06E-2</v>
      </c>
      <c r="V37">
        <v>0.22589999999999999</v>
      </c>
      <c r="W37">
        <v>0.52310000000000001</v>
      </c>
      <c r="Y37" s="9">
        <v>133</v>
      </c>
      <c r="Z37" t="s">
        <v>29</v>
      </c>
      <c r="AA37">
        <v>0.39410000000000001</v>
      </c>
      <c r="AB37">
        <v>0.39029999999999998</v>
      </c>
      <c r="AC37">
        <v>1.84E-2</v>
      </c>
      <c r="AD37">
        <v>0.37590000000000001</v>
      </c>
      <c r="AE37">
        <v>0.52210000000000001</v>
      </c>
    </row>
    <row r="38" spans="1:31" x14ac:dyDescent="0.35">
      <c r="A38" s="9">
        <v>140</v>
      </c>
      <c r="B38" t="s">
        <v>26</v>
      </c>
      <c r="C38">
        <v>0.2223</v>
      </c>
      <c r="D38">
        <v>0.23830000000000001</v>
      </c>
      <c r="E38">
        <v>7.2900000000000006E-2</v>
      </c>
      <c r="F38">
        <v>0</v>
      </c>
      <c r="G38">
        <v>0.61229999999999996</v>
      </c>
      <c r="I38" s="9">
        <v>141</v>
      </c>
      <c r="J38" t="s">
        <v>26</v>
      </c>
      <c r="K38">
        <v>0.22159999999999999</v>
      </c>
      <c r="L38">
        <v>0.23830000000000001</v>
      </c>
      <c r="M38">
        <v>7.3999999999999996E-2</v>
      </c>
      <c r="N38">
        <v>0</v>
      </c>
      <c r="O38">
        <v>0.6119</v>
      </c>
      <c r="Q38" s="9">
        <v>142</v>
      </c>
      <c r="R38" t="s">
        <v>26</v>
      </c>
      <c r="S38">
        <v>0.24560000000000001</v>
      </c>
      <c r="T38">
        <v>0.24249999999999999</v>
      </c>
      <c r="U38">
        <v>2.0500000000000001E-2</v>
      </c>
      <c r="V38">
        <v>8.0000000000000002E-3</v>
      </c>
      <c r="W38">
        <v>0.3679</v>
      </c>
      <c r="Y38" s="9">
        <v>143</v>
      </c>
      <c r="Z38" t="s">
        <v>26</v>
      </c>
      <c r="AA38">
        <v>0.24560000000000001</v>
      </c>
      <c r="AB38">
        <v>0.24249999999999999</v>
      </c>
      <c r="AC38">
        <v>1.49E-2</v>
      </c>
      <c r="AD38">
        <v>0.23139999999999999</v>
      </c>
      <c r="AE38">
        <v>0.35320000000000001</v>
      </c>
    </row>
    <row r="39" spans="1:31" x14ac:dyDescent="0.35">
      <c r="A39" s="9">
        <v>140</v>
      </c>
      <c r="B39" t="s">
        <v>27</v>
      </c>
      <c r="C39">
        <v>0.25750000000000001</v>
      </c>
      <c r="D39">
        <v>0.24429999999999999</v>
      </c>
      <c r="E39">
        <v>5.8400000000000001E-2</v>
      </c>
      <c r="F39">
        <v>0</v>
      </c>
      <c r="G39">
        <v>0.95179999999999998</v>
      </c>
      <c r="I39" s="9">
        <v>141</v>
      </c>
      <c r="J39" t="s">
        <v>27</v>
      </c>
      <c r="K39">
        <v>0.25769999999999998</v>
      </c>
      <c r="L39">
        <v>0.2442</v>
      </c>
      <c r="M39">
        <v>5.9299999999999999E-2</v>
      </c>
      <c r="N39">
        <v>0</v>
      </c>
      <c r="O39">
        <v>0.95189999999999997</v>
      </c>
      <c r="Q39" s="9">
        <v>142</v>
      </c>
      <c r="R39" t="s">
        <v>27</v>
      </c>
      <c r="S39">
        <v>0.2475</v>
      </c>
      <c r="T39">
        <v>0.24260000000000001</v>
      </c>
      <c r="U39">
        <v>2.3599999999999999E-2</v>
      </c>
      <c r="V39">
        <v>2.6800000000000001E-2</v>
      </c>
      <c r="W39">
        <v>0.62719999999999998</v>
      </c>
      <c r="Y39" s="9">
        <v>143</v>
      </c>
      <c r="Z39" t="s">
        <v>27</v>
      </c>
      <c r="AA39">
        <v>0.24560000000000001</v>
      </c>
      <c r="AB39">
        <v>0.24249999999999999</v>
      </c>
      <c r="AC39">
        <v>1.49E-2</v>
      </c>
      <c r="AD39">
        <v>0.23139999999999999</v>
      </c>
      <c r="AE39">
        <v>0.35320000000000001</v>
      </c>
    </row>
    <row r="40" spans="1:31" x14ac:dyDescent="0.35">
      <c r="A40" s="9">
        <v>140</v>
      </c>
      <c r="B40" t="s">
        <v>28</v>
      </c>
      <c r="C40">
        <v>0.75480000000000003</v>
      </c>
      <c r="D40">
        <v>0.93179999999999996</v>
      </c>
      <c r="E40">
        <v>0.31619999999999998</v>
      </c>
      <c r="F40">
        <v>0</v>
      </c>
      <c r="G40">
        <v>1</v>
      </c>
      <c r="I40" s="9">
        <v>141</v>
      </c>
      <c r="J40" t="s">
        <v>28</v>
      </c>
      <c r="K40">
        <v>0.749</v>
      </c>
      <c r="L40">
        <v>0.92290000000000005</v>
      </c>
      <c r="M40">
        <v>0.31869999999999998</v>
      </c>
      <c r="N40">
        <v>0</v>
      </c>
      <c r="O40">
        <v>1</v>
      </c>
      <c r="Q40" s="9">
        <v>142</v>
      </c>
      <c r="R40" t="s">
        <v>28</v>
      </c>
      <c r="S40">
        <v>0.98809999999999998</v>
      </c>
      <c r="T40">
        <v>0.99939999999999996</v>
      </c>
      <c r="U40">
        <v>7.5800000000000006E-2</v>
      </c>
      <c r="V40">
        <v>1.1299999999999999E-2</v>
      </c>
      <c r="W40">
        <v>1</v>
      </c>
      <c r="Y40" s="9">
        <v>143</v>
      </c>
      <c r="Z40" t="s">
        <v>28</v>
      </c>
      <c r="AA40">
        <v>1</v>
      </c>
      <c r="AB40">
        <v>1</v>
      </c>
      <c r="AC40">
        <v>0</v>
      </c>
      <c r="AD40">
        <v>1</v>
      </c>
      <c r="AE40">
        <v>1</v>
      </c>
    </row>
    <row r="41" spans="1:31" x14ac:dyDescent="0.35">
      <c r="A41" s="9">
        <v>140</v>
      </c>
      <c r="B41" t="s">
        <v>29</v>
      </c>
      <c r="C41">
        <v>0.35749999999999998</v>
      </c>
      <c r="D41">
        <v>0.38490000000000002</v>
      </c>
      <c r="E41">
        <v>0.104</v>
      </c>
      <c r="F41">
        <v>0</v>
      </c>
      <c r="G41">
        <v>0.75960000000000005</v>
      </c>
      <c r="I41" s="9">
        <v>141</v>
      </c>
      <c r="J41" t="s">
        <v>29</v>
      </c>
      <c r="K41">
        <v>0.35639999999999999</v>
      </c>
      <c r="L41">
        <v>0.38479999999999998</v>
      </c>
      <c r="M41">
        <v>0.10580000000000001</v>
      </c>
      <c r="N41">
        <v>0</v>
      </c>
      <c r="O41">
        <v>0.75929999999999997</v>
      </c>
      <c r="Q41" s="9">
        <v>142</v>
      </c>
      <c r="R41" t="s">
        <v>29</v>
      </c>
      <c r="S41">
        <v>0.39389999999999997</v>
      </c>
      <c r="T41">
        <v>0.39029999999999998</v>
      </c>
      <c r="U41">
        <v>2.7E-2</v>
      </c>
      <c r="V41">
        <v>1.5900000000000001E-2</v>
      </c>
      <c r="W41">
        <v>0.53790000000000004</v>
      </c>
      <c r="Y41" s="9">
        <v>143</v>
      </c>
      <c r="Z41" t="s">
        <v>29</v>
      </c>
      <c r="AA41">
        <v>0.39410000000000001</v>
      </c>
      <c r="AB41">
        <v>0.39029999999999998</v>
      </c>
      <c r="AC41">
        <v>1.84E-2</v>
      </c>
      <c r="AD41">
        <v>0.37590000000000001</v>
      </c>
      <c r="AE41">
        <v>0.52210000000000001</v>
      </c>
    </row>
    <row r="42" spans="1:31" x14ac:dyDescent="0.35">
      <c r="A42" s="9">
        <v>200</v>
      </c>
      <c r="B42" t="s">
        <v>26</v>
      </c>
      <c r="C42">
        <v>0.20169999999999999</v>
      </c>
      <c r="D42">
        <v>0.22900000000000001</v>
      </c>
      <c r="E42">
        <v>9.1300000000000006E-2</v>
      </c>
      <c r="F42">
        <v>0</v>
      </c>
      <c r="G42">
        <v>0.66969999999999996</v>
      </c>
      <c r="I42" s="9">
        <v>201</v>
      </c>
      <c r="J42" t="s">
        <v>26</v>
      </c>
      <c r="K42">
        <v>0.2014</v>
      </c>
      <c r="L42">
        <v>0.2281</v>
      </c>
      <c r="M42">
        <v>9.1300000000000006E-2</v>
      </c>
      <c r="N42">
        <v>0</v>
      </c>
      <c r="O42">
        <v>0.6704</v>
      </c>
      <c r="Q42" s="9">
        <v>202</v>
      </c>
      <c r="R42" t="s">
        <v>26</v>
      </c>
      <c r="S42">
        <v>0.23080000000000001</v>
      </c>
      <c r="T42">
        <v>0.2417</v>
      </c>
      <c r="U42">
        <v>5.3199999999999997E-2</v>
      </c>
      <c r="V42">
        <v>0</v>
      </c>
      <c r="W42">
        <v>0.62739999999999996</v>
      </c>
      <c r="Y42" s="9">
        <v>203</v>
      </c>
      <c r="Z42" t="s">
        <v>26</v>
      </c>
      <c r="AA42">
        <v>0.24560000000000001</v>
      </c>
      <c r="AB42">
        <v>0.24249999999999999</v>
      </c>
      <c r="AC42">
        <v>1.49E-2</v>
      </c>
      <c r="AD42">
        <v>0.23139999999999999</v>
      </c>
      <c r="AE42">
        <v>0.35320000000000001</v>
      </c>
    </row>
    <row r="43" spans="1:31" x14ac:dyDescent="0.35">
      <c r="A43" s="9">
        <v>200</v>
      </c>
      <c r="B43" t="s">
        <v>27</v>
      </c>
      <c r="C43">
        <v>0.26029999999999998</v>
      </c>
      <c r="D43">
        <v>0.24529999999999999</v>
      </c>
      <c r="E43">
        <v>7.7299999999999994E-2</v>
      </c>
      <c r="F43">
        <v>0</v>
      </c>
      <c r="G43">
        <v>0.98939999999999995</v>
      </c>
      <c r="I43" s="9">
        <v>201</v>
      </c>
      <c r="J43" t="s">
        <v>27</v>
      </c>
      <c r="K43">
        <v>0.2606</v>
      </c>
      <c r="L43">
        <v>0.24529999999999999</v>
      </c>
      <c r="M43">
        <v>7.7600000000000002E-2</v>
      </c>
      <c r="N43">
        <v>0</v>
      </c>
      <c r="O43">
        <v>0.98939999999999995</v>
      </c>
      <c r="Q43" s="9">
        <v>202</v>
      </c>
      <c r="R43" t="s">
        <v>27</v>
      </c>
      <c r="S43">
        <v>0.24979999999999999</v>
      </c>
      <c r="T43">
        <v>0.24279999999999999</v>
      </c>
      <c r="U43">
        <v>5.1900000000000002E-2</v>
      </c>
      <c r="V43">
        <v>0</v>
      </c>
      <c r="W43">
        <v>0.94179999999999997</v>
      </c>
      <c r="Y43" s="9">
        <v>203</v>
      </c>
      <c r="Z43" t="s">
        <v>27</v>
      </c>
      <c r="AA43">
        <v>0.24560000000000001</v>
      </c>
      <c r="AB43">
        <v>0.24249999999999999</v>
      </c>
      <c r="AC43">
        <v>1.49E-2</v>
      </c>
      <c r="AD43">
        <v>0.23139999999999999</v>
      </c>
      <c r="AE43">
        <v>0.35320000000000001</v>
      </c>
    </row>
    <row r="44" spans="1:31" x14ac:dyDescent="0.35">
      <c r="A44" s="9">
        <v>200</v>
      </c>
      <c r="B44" t="s">
        <v>28</v>
      </c>
      <c r="C44">
        <v>0.62160000000000004</v>
      </c>
      <c r="D44">
        <v>0.75590000000000002</v>
      </c>
      <c r="E44">
        <v>0.34420000000000001</v>
      </c>
      <c r="F44">
        <v>0</v>
      </c>
      <c r="G44">
        <v>1</v>
      </c>
      <c r="I44" s="9">
        <v>201</v>
      </c>
      <c r="J44" t="s">
        <v>28</v>
      </c>
      <c r="K44">
        <v>0.61680000000000001</v>
      </c>
      <c r="L44">
        <v>0.75549999999999995</v>
      </c>
      <c r="M44">
        <v>0.34229999999999999</v>
      </c>
      <c r="N44">
        <v>0</v>
      </c>
      <c r="O44">
        <v>1</v>
      </c>
      <c r="Q44" s="9">
        <v>202</v>
      </c>
      <c r="R44" t="s">
        <v>28</v>
      </c>
      <c r="S44">
        <v>0.8972</v>
      </c>
      <c r="T44">
        <v>0.99890000000000001</v>
      </c>
      <c r="U44">
        <v>0.26469999999999999</v>
      </c>
      <c r="V44">
        <v>0</v>
      </c>
      <c r="W44">
        <v>1</v>
      </c>
      <c r="Y44" s="9">
        <v>203</v>
      </c>
      <c r="Z44" t="s">
        <v>28</v>
      </c>
      <c r="AA44">
        <v>1</v>
      </c>
      <c r="AB44">
        <v>1</v>
      </c>
      <c r="AC44">
        <v>0</v>
      </c>
      <c r="AD44">
        <v>1</v>
      </c>
      <c r="AE44">
        <v>1</v>
      </c>
    </row>
    <row r="45" spans="1:31" x14ac:dyDescent="0.35">
      <c r="A45" s="9">
        <v>200</v>
      </c>
      <c r="B45" t="s">
        <v>29</v>
      </c>
      <c r="C45">
        <v>0.3256</v>
      </c>
      <c r="D45">
        <v>0.37259999999999999</v>
      </c>
      <c r="E45">
        <v>0.1333</v>
      </c>
      <c r="F45">
        <v>0</v>
      </c>
      <c r="G45">
        <v>0.80220000000000002</v>
      </c>
      <c r="I45" s="9">
        <v>201</v>
      </c>
      <c r="J45" t="s">
        <v>29</v>
      </c>
      <c r="K45">
        <v>0.32529999999999998</v>
      </c>
      <c r="L45">
        <v>0.37140000000000001</v>
      </c>
      <c r="M45">
        <v>0.1333</v>
      </c>
      <c r="N45">
        <v>0</v>
      </c>
      <c r="O45">
        <v>0.80269999999999997</v>
      </c>
      <c r="Q45" s="9">
        <v>202</v>
      </c>
      <c r="R45" t="s">
        <v>29</v>
      </c>
      <c r="S45">
        <v>0.37159999999999999</v>
      </c>
      <c r="T45">
        <v>0.38929999999999998</v>
      </c>
      <c r="U45">
        <v>7.7899999999999997E-2</v>
      </c>
      <c r="V45">
        <v>0</v>
      </c>
      <c r="W45">
        <v>0.77100000000000002</v>
      </c>
      <c r="Y45" s="9">
        <v>203</v>
      </c>
      <c r="Z45" t="s">
        <v>29</v>
      </c>
      <c r="AA45">
        <v>0.39410000000000001</v>
      </c>
      <c r="AB45">
        <v>0.39029999999999998</v>
      </c>
      <c r="AC45">
        <v>1.84E-2</v>
      </c>
      <c r="AD45">
        <v>0.37590000000000001</v>
      </c>
      <c r="AE45">
        <v>0.52210000000000001</v>
      </c>
    </row>
    <row r="46" spans="1:31" x14ac:dyDescent="0.35">
      <c r="A46" s="9">
        <v>210</v>
      </c>
      <c r="B46" t="s">
        <v>26</v>
      </c>
      <c r="C46">
        <v>0.24479999999999999</v>
      </c>
      <c r="D46">
        <v>0.2424</v>
      </c>
      <c r="E46">
        <v>2.1700000000000001E-2</v>
      </c>
      <c r="F46">
        <v>0</v>
      </c>
      <c r="G46">
        <v>0.40160000000000001</v>
      </c>
      <c r="I46" s="9">
        <v>211</v>
      </c>
      <c r="J46" t="s">
        <v>26</v>
      </c>
      <c r="K46">
        <v>0.24490000000000001</v>
      </c>
      <c r="L46">
        <v>0.2422</v>
      </c>
      <c r="M46">
        <v>2.2100000000000002E-2</v>
      </c>
      <c r="N46">
        <v>0</v>
      </c>
      <c r="O46">
        <v>0.41070000000000001</v>
      </c>
      <c r="Q46" s="9">
        <v>212</v>
      </c>
      <c r="R46" t="s">
        <v>26</v>
      </c>
      <c r="S46">
        <v>0.24510000000000001</v>
      </c>
      <c r="T46">
        <v>0.2422</v>
      </c>
      <c r="U46">
        <v>2.1899999999999999E-2</v>
      </c>
      <c r="V46">
        <v>0</v>
      </c>
      <c r="W46">
        <v>0.58720000000000006</v>
      </c>
      <c r="Y46" s="9">
        <v>213</v>
      </c>
      <c r="Z46" t="s">
        <v>26</v>
      </c>
      <c r="AA46">
        <v>0.24560000000000001</v>
      </c>
      <c r="AB46">
        <v>0.24249999999999999</v>
      </c>
      <c r="AC46">
        <v>1.49E-2</v>
      </c>
      <c r="AD46">
        <v>0.23139999999999999</v>
      </c>
      <c r="AE46">
        <v>0.35320000000000001</v>
      </c>
    </row>
    <row r="47" spans="1:31" x14ac:dyDescent="0.35">
      <c r="A47" s="9">
        <v>210</v>
      </c>
      <c r="B47" t="s">
        <v>27</v>
      </c>
      <c r="C47">
        <v>0.2467</v>
      </c>
      <c r="D47">
        <v>0.24260000000000001</v>
      </c>
      <c r="E47">
        <v>3.2099999999999997E-2</v>
      </c>
      <c r="F47">
        <v>0</v>
      </c>
      <c r="G47">
        <v>0.99119999999999997</v>
      </c>
      <c r="I47" s="9">
        <v>211</v>
      </c>
      <c r="J47" t="s">
        <v>27</v>
      </c>
      <c r="K47">
        <v>0.24679999999999999</v>
      </c>
      <c r="L47">
        <v>0.2424</v>
      </c>
      <c r="M47">
        <v>3.2300000000000002E-2</v>
      </c>
      <c r="N47">
        <v>0</v>
      </c>
      <c r="O47">
        <v>0.99260000000000004</v>
      </c>
      <c r="Q47" s="9">
        <v>212</v>
      </c>
      <c r="R47" t="s">
        <v>27</v>
      </c>
      <c r="S47">
        <v>0.24629999999999999</v>
      </c>
      <c r="T47">
        <v>0.2424</v>
      </c>
      <c r="U47">
        <v>2.5899999999999999E-2</v>
      </c>
      <c r="V47">
        <v>0</v>
      </c>
      <c r="W47">
        <v>0.83940000000000003</v>
      </c>
      <c r="Y47" s="9">
        <v>213</v>
      </c>
      <c r="Z47" t="s">
        <v>27</v>
      </c>
      <c r="AA47">
        <v>0.24560000000000001</v>
      </c>
      <c r="AB47">
        <v>0.24249999999999999</v>
      </c>
      <c r="AC47">
        <v>1.49E-2</v>
      </c>
      <c r="AD47">
        <v>0.23139999999999999</v>
      </c>
      <c r="AE47">
        <v>0.35320000000000001</v>
      </c>
    </row>
    <row r="48" spans="1:31" x14ac:dyDescent="0.35">
      <c r="A48" s="9">
        <v>210</v>
      </c>
      <c r="B48" t="s">
        <v>28</v>
      </c>
      <c r="C48">
        <v>0.9909</v>
      </c>
      <c r="D48">
        <v>0.99790000000000001</v>
      </c>
      <c r="E48">
        <v>7.5499999999999998E-2</v>
      </c>
      <c r="F48">
        <v>0</v>
      </c>
      <c r="G48">
        <v>1</v>
      </c>
      <c r="I48" s="9">
        <v>211</v>
      </c>
      <c r="J48" t="s">
        <v>28</v>
      </c>
      <c r="K48">
        <v>0.99139999999999995</v>
      </c>
      <c r="L48">
        <v>0.99850000000000005</v>
      </c>
      <c r="M48">
        <v>7.5600000000000001E-2</v>
      </c>
      <c r="N48">
        <v>0</v>
      </c>
      <c r="O48">
        <v>1</v>
      </c>
      <c r="Q48" s="9">
        <v>212</v>
      </c>
      <c r="R48" t="s">
        <v>28</v>
      </c>
      <c r="S48">
        <v>0.99170000000000003</v>
      </c>
      <c r="T48">
        <v>0.997</v>
      </c>
      <c r="U48">
        <v>6.3799999999999996E-2</v>
      </c>
      <c r="V48">
        <v>0</v>
      </c>
      <c r="W48">
        <v>1</v>
      </c>
      <c r="Y48" s="9">
        <v>213</v>
      </c>
      <c r="Z48" t="s">
        <v>28</v>
      </c>
      <c r="AA48">
        <v>1</v>
      </c>
      <c r="AB48">
        <v>1</v>
      </c>
      <c r="AC48">
        <v>0</v>
      </c>
      <c r="AD48">
        <v>1</v>
      </c>
      <c r="AE48">
        <v>1</v>
      </c>
    </row>
    <row r="49" spans="1:31" x14ac:dyDescent="0.35">
      <c r="A49" s="9">
        <v>210</v>
      </c>
      <c r="B49" t="s">
        <v>29</v>
      </c>
      <c r="C49">
        <v>0.39279999999999998</v>
      </c>
      <c r="D49">
        <v>0.39019999999999999</v>
      </c>
      <c r="E49">
        <v>3.0300000000000001E-2</v>
      </c>
      <c r="F49">
        <v>0</v>
      </c>
      <c r="G49">
        <v>0.57310000000000005</v>
      </c>
      <c r="I49" s="9">
        <v>211</v>
      </c>
      <c r="J49" t="s">
        <v>29</v>
      </c>
      <c r="K49">
        <v>0.39300000000000002</v>
      </c>
      <c r="L49">
        <v>0.38990000000000002</v>
      </c>
      <c r="M49">
        <v>3.0599999999999999E-2</v>
      </c>
      <c r="N49">
        <v>0</v>
      </c>
      <c r="O49">
        <v>0.58220000000000005</v>
      </c>
      <c r="Q49" s="9">
        <v>212</v>
      </c>
      <c r="R49" t="s">
        <v>29</v>
      </c>
      <c r="S49">
        <v>0.39319999999999999</v>
      </c>
      <c r="T49">
        <v>0.38990000000000002</v>
      </c>
      <c r="U49">
        <v>2.8899999999999999E-2</v>
      </c>
      <c r="V49">
        <v>0</v>
      </c>
      <c r="W49">
        <v>0.7399</v>
      </c>
      <c r="Y49" s="9">
        <v>213</v>
      </c>
      <c r="Z49" t="s">
        <v>29</v>
      </c>
      <c r="AA49">
        <v>0.39410000000000001</v>
      </c>
      <c r="AB49">
        <v>0.39029999999999998</v>
      </c>
      <c r="AC49">
        <v>1.84E-2</v>
      </c>
      <c r="AD49">
        <v>0.37590000000000001</v>
      </c>
      <c r="AE49">
        <v>0.52210000000000001</v>
      </c>
    </row>
    <row r="50" spans="1:31" x14ac:dyDescent="0.35">
      <c r="A50" s="9">
        <v>220</v>
      </c>
      <c r="B50" t="s">
        <v>26</v>
      </c>
      <c r="C50">
        <v>0.23200000000000001</v>
      </c>
      <c r="D50">
        <v>0.23130000000000001</v>
      </c>
      <c r="E50">
        <v>1.9300000000000001E-2</v>
      </c>
      <c r="F50">
        <v>0.1794</v>
      </c>
      <c r="G50">
        <v>0.36730000000000002</v>
      </c>
      <c r="I50" s="9">
        <v>221</v>
      </c>
      <c r="J50" t="s">
        <v>26</v>
      </c>
      <c r="K50">
        <v>0.23219999999999999</v>
      </c>
      <c r="L50">
        <v>0.23200000000000001</v>
      </c>
      <c r="M50">
        <v>1.9300000000000001E-2</v>
      </c>
      <c r="N50">
        <v>0.15989999999999999</v>
      </c>
      <c r="O50">
        <v>0.38150000000000001</v>
      </c>
      <c r="Q50" s="9">
        <v>222</v>
      </c>
      <c r="R50" t="s">
        <v>26</v>
      </c>
      <c r="S50">
        <v>0.22320000000000001</v>
      </c>
      <c r="T50">
        <v>0.22170000000000001</v>
      </c>
      <c r="U50">
        <v>1.8599999999999998E-2</v>
      </c>
      <c r="V50">
        <v>0.17100000000000001</v>
      </c>
      <c r="W50">
        <v>0.45169999999999999</v>
      </c>
      <c r="Y50" s="9">
        <v>223</v>
      </c>
      <c r="Z50" t="s">
        <v>26</v>
      </c>
      <c r="AA50">
        <v>0.24560000000000001</v>
      </c>
      <c r="AB50">
        <v>0.24249999999999999</v>
      </c>
      <c r="AC50">
        <v>1.49E-2</v>
      </c>
      <c r="AD50">
        <v>0.23139999999999999</v>
      </c>
      <c r="AE50">
        <v>0.35320000000000001</v>
      </c>
    </row>
    <row r="51" spans="1:31" x14ac:dyDescent="0.35">
      <c r="A51" s="9">
        <v>220</v>
      </c>
      <c r="B51" t="s">
        <v>27</v>
      </c>
      <c r="C51">
        <v>0.2455</v>
      </c>
      <c r="D51">
        <v>0.24210000000000001</v>
      </c>
      <c r="E51">
        <v>1.8499999999999999E-2</v>
      </c>
      <c r="F51">
        <v>0.20530000000000001</v>
      </c>
      <c r="G51">
        <v>0.39450000000000002</v>
      </c>
      <c r="I51" s="9">
        <v>221</v>
      </c>
      <c r="J51" t="s">
        <v>27</v>
      </c>
      <c r="K51">
        <v>0.2455</v>
      </c>
      <c r="L51">
        <v>0.24249999999999999</v>
      </c>
      <c r="M51">
        <v>1.8499999999999999E-2</v>
      </c>
      <c r="N51">
        <v>0.18559999999999999</v>
      </c>
      <c r="O51">
        <v>0.40870000000000001</v>
      </c>
      <c r="Q51" s="9">
        <v>222</v>
      </c>
      <c r="R51" t="s">
        <v>27</v>
      </c>
      <c r="S51">
        <v>0.2457</v>
      </c>
      <c r="T51">
        <v>0.24229999999999999</v>
      </c>
      <c r="U51">
        <v>1.9599999999999999E-2</v>
      </c>
      <c r="V51">
        <v>0.2021</v>
      </c>
      <c r="W51">
        <v>0.49719999999999998</v>
      </c>
      <c r="Y51" s="9">
        <v>223</v>
      </c>
      <c r="Z51" t="s">
        <v>27</v>
      </c>
      <c r="AA51">
        <v>0.24560000000000001</v>
      </c>
      <c r="AB51">
        <v>0.24249999999999999</v>
      </c>
      <c r="AC51">
        <v>1.49E-2</v>
      </c>
      <c r="AD51">
        <v>0.23139999999999999</v>
      </c>
      <c r="AE51">
        <v>0.35320000000000001</v>
      </c>
    </row>
    <row r="52" spans="1:31" x14ac:dyDescent="0.35">
      <c r="A52" s="9">
        <v>220</v>
      </c>
      <c r="B52" t="s">
        <v>28</v>
      </c>
      <c r="C52">
        <v>0.81640000000000001</v>
      </c>
      <c r="D52">
        <v>0.86580000000000001</v>
      </c>
      <c r="E52">
        <v>9.3899999999999997E-2</v>
      </c>
      <c r="F52">
        <v>0.54249999999999998</v>
      </c>
      <c r="G52">
        <v>0.92710000000000004</v>
      </c>
      <c r="I52" s="9">
        <v>221</v>
      </c>
      <c r="J52" t="s">
        <v>28</v>
      </c>
      <c r="K52">
        <v>0.81920000000000004</v>
      </c>
      <c r="L52">
        <v>0.86760000000000004</v>
      </c>
      <c r="M52">
        <v>9.3899999999999997E-2</v>
      </c>
      <c r="N52">
        <v>0.52829999999999999</v>
      </c>
      <c r="O52">
        <v>0.93100000000000005</v>
      </c>
      <c r="Q52" s="9">
        <v>222</v>
      </c>
      <c r="R52" t="s">
        <v>28</v>
      </c>
      <c r="S52">
        <v>0.71279999999999999</v>
      </c>
      <c r="T52">
        <v>0.72789999999999999</v>
      </c>
      <c r="U52">
        <v>6.4799999999999996E-2</v>
      </c>
      <c r="V52">
        <v>0.46550000000000002</v>
      </c>
      <c r="W52">
        <v>0.84230000000000005</v>
      </c>
      <c r="Y52" s="9">
        <v>223</v>
      </c>
      <c r="Z52" t="s">
        <v>28</v>
      </c>
      <c r="AA52">
        <v>1</v>
      </c>
      <c r="AB52">
        <v>1</v>
      </c>
      <c r="AC52">
        <v>0</v>
      </c>
      <c r="AD52">
        <v>1</v>
      </c>
      <c r="AE52">
        <v>1</v>
      </c>
    </row>
    <row r="53" spans="1:31" x14ac:dyDescent="0.35">
      <c r="A53" s="9">
        <v>220</v>
      </c>
      <c r="B53" t="s">
        <v>29</v>
      </c>
      <c r="C53">
        <v>0.37630000000000002</v>
      </c>
      <c r="D53">
        <v>0.37559999999999999</v>
      </c>
      <c r="E53">
        <v>2.4799999999999999E-2</v>
      </c>
      <c r="F53">
        <v>0.30420000000000003</v>
      </c>
      <c r="G53">
        <v>0.5373</v>
      </c>
      <c r="I53" s="9">
        <v>221</v>
      </c>
      <c r="J53" t="s">
        <v>29</v>
      </c>
      <c r="K53">
        <v>0.37659999999999999</v>
      </c>
      <c r="L53">
        <v>0.37669999999999998</v>
      </c>
      <c r="M53">
        <v>2.4799999999999999E-2</v>
      </c>
      <c r="N53">
        <v>0.2757</v>
      </c>
      <c r="O53">
        <v>0.55230000000000001</v>
      </c>
      <c r="Q53" s="9">
        <v>222</v>
      </c>
      <c r="R53" t="s">
        <v>29</v>
      </c>
      <c r="S53">
        <v>0.36449999999999999</v>
      </c>
      <c r="T53">
        <v>0.3629</v>
      </c>
      <c r="U53">
        <v>2.41E-2</v>
      </c>
      <c r="V53">
        <v>0.29199999999999998</v>
      </c>
      <c r="W53">
        <v>0.62229999999999996</v>
      </c>
      <c r="Y53" s="9">
        <v>223</v>
      </c>
      <c r="Z53" t="s">
        <v>29</v>
      </c>
      <c r="AA53">
        <v>0.39410000000000001</v>
      </c>
      <c r="AB53">
        <v>0.39029999999999998</v>
      </c>
      <c r="AC53">
        <v>1.84E-2</v>
      </c>
      <c r="AD53">
        <v>0.37590000000000001</v>
      </c>
      <c r="AE53">
        <v>0.52210000000000001</v>
      </c>
    </row>
    <row r="54" spans="1:31" x14ac:dyDescent="0.35">
      <c r="A54" s="9">
        <v>230</v>
      </c>
      <c r="B54" t="s">
        <v>26</v>
      </c>
      <c r="C54">
        <v>0.22170000000000001</v>
      </c>
      <c r="D54">
        <v>0.23530000000000001</v>
      </c>
      <c r="E54">
        <v>7.4399999999999994E-2</v>
      </c>
      <c r="F54">
        <v>0</v>
      </c>
      <c r="G54">
        <v>0.57940000000000003</v>
      </c>
      <c r="I54" s="9">
        <v>231</v>
      </c>
      <c r="J54" t="s">
        <v>26</v>
      </c>
      <c r="K54">
        <v>0.2213</v>
      </c>
      <c r="L54">
        <v>0.23519999999999999</v>
      </c>
      <c r="M54">
        <v>7.51E-2</v>
      </c>
      <c r="N54">
        <v>0</v>
      </c>
      <c r="O54">
        <v>0.57820000000000005</v>
      </c>
      <c r="Q54" s="9">
        <v>232</v>
      </c>
      <c r="R54" t="s">
        <v>26</v>
      </c>
      <c r="S54">
        <v>0.24490000000000001</v>
      </c>
      <c r="T54">
        <v>0.2422</v>
      </c>
      <c r="U54">
        <v>1.8700000000000001E-2</v>
      </c>
      <c r="V54">
        <v>2.3199999999999998E-2</v>
      </c>
      <c r="W54">
        <v>0.3634</v>
      </c>
      <c r="Y54" s="9">
        <v>233</v>
      </c>
      <c r="Z54" t="s">
        <v>26</v>
      </c>
      <c r="AA54">
        <v>0.24560000000000001</v>
      </c>
      <c r="AB54">
        <v>0.24249999999999999</v>
      </c>
      <c r="AC54">
        <v>1.49E-2</v>
      </c>
      <c r="AD54">
        <v>0.23139999999999999</v>
      </c>
      <c r="AE54">
        <v>0.35320000000000001</v>
      </c>
    </row>
    <row r="55" spans="1:31" x14ac:dyDescent="0.35">
      <c r="A55" s="9">
        <v>230</v>
      </c>
      <c r="B55" t="s">
        <v>27</v>
      </c>
      <c r="C55">
        <v>0.2596</v>
      </c>
      <c r="D55">
        <v>0.2455</v>
      </c>
      <c r="E55">
        <v>5.7500000000000002E-2</v>
      </c>
      <c r="F55">
        <v>0</v>
      </c>
      <c r="G55">
        <v>0.88870000000000005</v>
      </c>
      <c r="I55" s="9">
        <v>231</v>
      </c>
      <c r="J55" t="s">
        <v>27</v>
      </c>
      <c r="K55">
        <v>0.25979999999999998</v>
      </c>
      <c r="L55">
        <v>0.24540000000000001</v>
      </c>
      <c r="M55">
        <v>5.79E-2</v>
      </c>
      <c r="N55">
        <v>0</v>
      </c>
      <c r="O55">
        <v>0.88260000000000005</v>
      </c>
      <c r="Q55" s="9">
        <v>232</v>
      </c>
      <c r="R55" t="s">
        <v>27</v>
      </c>
      <c r="S55">
        <v>0.2465</v>
      </c>
      <c r="T55">
        <v>0.2424</v>
      </c>
      <c r="U55">
        <v>2.0400000000000001E-2</v>
      </c>
      <c r="V55">
        <v>6.7599999999999993E-2</v>
      </c>
      <c r="W55">
        <v>0.54169999999999996</v>
      </c>
      <c r="Y55" s="9">
        <v>233</v>
      </c>
      <c r="Z55" t="s">
        <v>27</v>
      </c>
      <c r="AA55">
        <v>0.24560000000000001</v>
      </c>
      <c r="AB55">
        <v>0.24249999999999999</v>
      </c>
      <c r="AC55">
        <v>1.49E-2</v>
      </c>
      <c r="AD55">
        <v>0.23139999999999999</v>
      </c>
      <c r="AE55">
        <v>0.35320000000000001</v>
      </c>
    </row>
    <row r="56" spans="1:31" x14ac:dyDescent="0.35">
      <c r="A56" s="9">
        <v>230</v>
      </c>
      <c r="B56" t="s">
        <v>28</v>
      </c>
      <c r="C56">
        <v>0.71099999999999997</v>
      </c>
      <c r="D56">
        <v>0.83109999999999995</v>
      </c>
      <c r="E56">
        <v>0.2984</v>
      </c>
      <c r="F56">
        <v>0</v>
      </c>
      <c r="G56">
        <v>0.99970000000000003</v>
      </c>
      <c r="I56" s="9">
        <v>231</v>
      </c>
      <c r="J56" t="s">
        <v>28</v>
      </c>
      <c r="K56">
        <v>0.70579999999999998</v>
      </c>
      <c r="L56">
        <v>0.82169999999999999</v>
      </c>
      <c r="M56">
        <v>0.29830000000000001</v>
      </c>
      <c r="N56">
        <v>0</v>
      </c>
      <c r="O56">
        <v>0.99980000000000002</v>
      </c>
      <c r="Q56" s="9">
        <v>232</v>
      </c>
      <c r="R56" t="s">
        <v>28</v>
      </c>
      <c r="S56">
        <v>0.98960000000000004</v>
      </c>
      <c r="T56">
        <v>0.99929999999999997</v>
      </c>
      <c r="U56">
        <v>7.3499999999999996E-2</v>
      </c>
      <c r="V56">
        <v>3.4200000000000001E-2</v>
      </c>
      <c r="W56">
        <v>1</v>
      </c>
      <c r="Y56" s="9">
        <v>233</v>
      </c>
      <c r="Z56" t="s">
        <v>28</v>
      </c>
      <c r="AA56">
        <v>1</v>
      </c>
      <c r="AB56">
        <v>1</v>
      </c>
      <c r="AC56">
        <v>0</v>
      </c>
      <c r="AD56">
        <v>1</v>
      </c>
      <c r="AE56">
        <v>1</v>
      </c>
    </row>
    <row r="57" spans="1:31" x14ac:dyDescent="0.35">
      <c r="A57" s="9">
        <v>230</v>
      </c>
      <c r="B57" t="s">
        <v>29</v>
      </c>
      <c r="C57">
        <v>0.35659999999999997</v>
      </c>
      <c r="D57">
        <v>0.38090000000000002</v>
      </c>
      <c r="E57">
        <v>0.1053</v>
      </c>
      <c r="F57">
        <v>0</v>
      </c>
      <c r="G57">
        <v>0.73370000000000002</v>
      </c>
      <c r="I57" s="9">
        <v>231</v>
      </c>
      <c r="J57" t="s">
        <v>29</v>
      </c>
      <c r="K57">
        <v>0.35589999999999999</v>
      </c>
      <c r="L57">
        <v>0.38090000000000002</v>
      </c>
      <c r="M57">
        <v>0.1062</v>
      </c>
      <c r="N57">
        <v>0</v>
      </c>
      <c r="O57">
        <v>0.73270000000000002</v>
      </c>
      <c r="Q57" s="9">
        <v>232</v>
      </c>
      <c r="R57" t="s">
        <v>29</v>
      </c>
      <c r="S57">
        <v>0.3931</v>
      </c>
      <c r="T57">
        <v>0.39</v>
      </c>
      <c r="U57">
        <v>2.4400000000000002E-2</v>
      </c>
      <c r="V57">
        <v>4.5400000000000003E-2</v>
      </c>
      <c r="W57">
        <v>0.53300000000000003</v>
      </c>
      <c r="Y57" s="9">
        <v>233</v>
      </c>
      <c r="Z57" t="s">
        <v>29</v>
      </c>
      <c r="AA57">
        <v>0.39410000000000001</v>
      </c>
      <c r="AB57">
        <v>0.39029999999999998</v>
      </c>
      <c r="AC57">
        <v>1.84E-2</v>
      </c>
      <c r="AD57">
        <v>0.37590000000000001</v>
      </c>
      <c r="AE57">
        <v>0.52210000000000001</v>
      </c>
    </row>
    <row r="58" spans="1:31" x14ac:dyDescent="0.35">
      <c r="A58" s="9">
        <v>240</v>
      </c>
      <c r="B58" t="s">
        <v>26</v>
      </c>
      <c r="C58">
        <v>0.21190000000000001</v>
      </c>
      <c r="D58">
        <v>0.23760000000000001</v>
      </c>
      <c r="E58">
        <v>8.5099999999999995E-2</v>
      </c>
      <c r="F58">
        <v>0</v>
      </c>
      <c r="G58">
        <v>0.66810000000000003</v>
      </c>
      <c r="I58" s="9">
        <v>241</v>
      </c>
      <c r="J58" t="s">
        <v>26</v>
      </c>
      <c r="K58">
        <v>0.2114</v>
      </c>
      <c r="L58">
        <v>0.23769999999999999</v>
      </c>
      <c r="M58">
        <v>8.5599999999999996E-2</v>
      </c>
      <c r="N58">
        <v>0</v>
      </c>
      <c r="O58">
        <v>0.66949999999999998</v>
      </c>
      <c r="Q58" s="9">
        <v>242</v>
      </c>
      <c r="R58" t="s">
        <v>26</v>
      </c>
      <c r="S58">
        <v>0.24310000000000001</v>
      </c>
      <c r="T58">
        <v>0.24229999999999999</v>
      </c>
      <c r="U58">
        <v>3.2300000000000002E-2</v>
      </c>
      <c r="V58">
        <v>0</v>
      </c>
      <c r="W58">
        <v>0.61350000000000005</v>
      </c>
      <c r="Y58" s="9">
        <v>243</v>
      </c>
      <c r="Z58" t="s">
        <v>26</v>
      </c>
      <c r="AA58">
        <v>0.24560000000000001</v>
      </c>
      <c r="AB58">
        <v>0.24249999999999999</v>
      </c>
      <c r="AC58">
        <v>1.49E-2</v>
      </c>
      <c r="AD58">
        <v>0.23139999999999999</v>
      </c>
      <c r="AE58">
        <v>0.35320000000000001</v>
      </c>
    </row>
    <row r="59" spans="1:31" x14ac:dyDescent="0.35">
      <c r="A59" s="9">
        <v>240</v>
      </c>
      <c r="B59" t="s">
        <v>27</v>
      </c>
      <c r="C59">
        <v>0.25840000000000002</v>
      </c>
      <c r="D59">
        <v>0.2442</v>
      </c>
      <c r="E59">
        <v>7.1599999999999997E-2</v>
      </c>
      <c r="F59">
        <v>0</v>
      </c>
      <c r="G59">
        <v>0.99219999999999997</v>
      </c>
      <c r="I59" s="9">
        <v>241</v>
      </c>
      <c r="J59" t="s">
        <v>27</v>
      </c>
      <c r="K59">
        <v>0.25840000000000002</v>
      </c>
      <c r="L59">
        <v>0.2442</v>
      </c>
      <c r="M59">
        <v>7.2300000000000003E-2</v>
      </c>
      <c r="N59">
        <v>0</v>
      </c>
      <c r="O59">
        <v>0.99139999999999995</v>
      </c>
      <c r="Q59" s="9">
        <v>242</v>
      </c>
      <c r="R59" t="s">
        <v>27</v>
      </c>
      <c r="S59">
        <v>0.25019999999999998</v>
      </c>
      <c r="T59">
        <v>0.2427</v>
      </c>
      <c r="U59">
        <v>4.8099999999999997E-2</v>
      </c>
      <c r="V59">
        <v>0</v>
      </c>
      <c r="W59">
        <v>0.92989999999999995</v>
      </c>
      <c r="Y59" s="9">
        <v>243</v>
      </c>
      <c r="Z59" t="s">
        <v>27</v>
      </c>
      <c r="AA59">
        <v>0.24560000000000001</v>
      </c>
      <c r="AB59">
        <v>0.24249999999999999</v>
      </c>
      <c r="AC59">
        <v>1.49E-2</v>
      </c>
      <c r="AD59">
        <v>0.23139999999999999</v>
      </c>
      <c r="AE59">
        <v>0.35320000000000001</v>
      </c>
    </row>
    <row r="60" spans="1:31" x14ac:dyDescent="0.35">
      <c r="A60" s="9">
        <v>240</v>
      </c>
      <c r="B60" t="s">
        <v>28</v>
      </c>
      <c r="C60">
        <v>0.7198</v>
      </c>
      <c r="D60">
        <v>0.92569999999999997</v>
      </c>
      <c r="E60">
        <v>0.3538</v>
      </c>
      <c r="F60">
        <v>0</v>
      </c>
      <c r="G60">
        <v>1</v>
      </c>
      <c r="I60" s="9">
        <v>241</v>
      </c>
      <c r="J60" t="s">
        <v>28</v>
      </c>
      <c r="K60">
        <v>0.71499999999999997</v>
      </c>
      <c r="L60">
        <v>0.92349999999999999</v>
      </c>
      <c r="M60">
        <v>0.3548</v>
      </c>
      <c r="N60">
        <v>0</v>
      </c>
      <c r="O60">
        <v>1</v>
      </c>
      <c r="Q60" s="9">
        <v>242</v>
      </c>
      <c r="R60" t="s">
        <v>28</v>
      </c>
      <c r="S60">
        <v>0.96450000000000002</v>
      </c>
      <c r="T60">
        <v>0.99919999999999998</v>
      </c>
      <c r="U60">
        <v>0.14779999999999999</v>
      </c>
      <c r="V60">
        <v>0</v>
      </c>
      <c r="W60">
        <v>1</v>
      </c>
      <c r="Y60" s="9">
        <v>243</v>
      </c>
      <c r="Z60" t="s">
        <v>28</v>
      </c>
      <c r="AA60">
        <v>1</v>
      </c>
      <c r="AB60">
        <v>1</v>
      </c>
      <c r="AC60">
        <v>0</v>
      </c>
      <c r="AD60">
        <v>1</v>
      </c>
      <c r="AE60">
        <v>1</v>
      </c>
    </row>
    <row r="61" spans="1:31" x14ac:dyDescent="0.35">
      <c r="A61" s="9">
        <v>240</v>
      </c>
      <c r="B61" t="s">
        <v>29</v>
      </c>
      <c r="C61">
        <v>0.34089999999999998</v>
      </c>
      <c r="D61">
        <v>0.38400000000000001</v>
      </c>
      <c r="E61">
        <v>0.12479999999999999</v>
      </c>
      <c r="F61">
        <v>0</v>
      </c>
      <c r="G61">
        <v>0.80100000000000005</v>
      </c>
      <c r="I61" s="9">
        <v>241</v>
      </c>
      <c r="J61" t="s">
        <v>29</v>
      </c>
      <c r="K61">
        <v>0.34010000000000001</v>
      </c>
      <c r="L61">
        <v>0.38400000000000001</v>
      </c>
      <c r="M61">
        <v>0.12540000000000001</v>
      </c>
      <c r="N61">
        <v>0</v>
      </c>
      <c r="O61">
        <v>0.80210000000000004</v>
      </c>
      <c r="Q61" s="9">
        <v>242</v>
      </c>
      <c r="R61" t="s">
        <v>29</v>
      </c>
      <c r="S61">
        <v>0.38990000000000002</v>
      </c>
      <c r="T61">
        <v>0.3901</v>
      </c>
      <c r="U61">
        <v>4.4400000000000002E-2</v>
      </c>
      <c r="V61">
        <v>0</v>
      </c>
      <c r="W61">
        <v>0.76049999999999995</v>
      </c>
      <c r="Y61" s="9">
        <v>243</v>
      </c>
      <c r="Z61" t="s">
        <v>29</v>
      </c>
      <c r="AA61">
        <v>0.39410000000000001</v>
      </c>
      <c r="AB61">
        <v>0.39029999999999998</v>
      </c>
      <c r="AC61">
        <v>1.84E-2</v>
      </c>
      <c r="AD61">
        <v>0.37590000000000001</v>
      </c>
      <c r="AE61">
        <v>0.52210000000000001</v>
      </c>
    </row>
    <row r="62" spans="1:31" x14ac:dyDescent="0.35">
      <c r="A62" s="9">
        <v>300</v>
      </c>
      <c r="B62" t="s">
        <v>26</v>
      </c>
      <c r="C62">
        <v>0.19159999999999999</v>
      </c>
      <c r="D62">
        <v>0.2321</v>
      </c>
      <c r="E62">
        <v>9.7699999999999995E-2</v>
      </c>
      <c r="F62">
        <v>0</v>
      </c>
      <c r="G62">
        <v>0.66379999999999995</v>
      </c>
      <c r="I62" s="9">
        <v>301</v>
      </c>
      <c r="J62" t="s">
        <v>26</v>
      </c>
      <c r="K62">
        <v>0.1918</v>
      </c>
      <c r="L62">
        <v>0.23050000000000001</v>
      </c>
      <c r="M62">
        <v>9.74E-2</v>
      </c>
      <c r="N62">
        <v>0</v>
      </c>
      <c r="O62">
        <v>0.66379999999999995</v>
      </c>
      <c r="Q62" s="9">
        <v>302</v>
      </c>
      <c r="R62" t="s">
        <v>26</v>
      </c>
      <c r="S62">
        <v>0.21859999999999999</v>
      </c>
      <c r="T62">
        <v>0.2412</v>
      </c>
      <c r="U62">
        <v>6.7400000000000002E-2</v>
      </c>
      <c r="V62">
        <v>0</v>
      </c>
      <c r="W62">
        <v>0.504</v>
      </c>
      <c r="Y62" s="9">
        <v>303</v>
      </c>
      <c r="Z62" t="s">
        <v>26</v>
      </c>
      <c r="AA62">
        <v>0.24560000000000001</v>
      </c>
      <c r="AB62">
        <v>0.24249999999999999</v>
      </c>
      <c r="AC62">
        <v>1.49E-2</v>
      </c>
      <c r="AD62">
        <v>0.23139999999999999</v>
      </c>
      <c r="AE62">
        <v>0.35320000000000001</v>
      </c>
    </row>
    <row r="63" spans="1:31" x14ac:dyDescent="0.35">
      <c r="A63" s="9">
        <v>300</v>
      </c>
      <c r="B63" t="s">
        <v>27</v>
      </c>
      <c r="C63">
        <v>0.25800000000000001</v>
      </c>
      <c r="D63">
        <v>0.24460000000000001</v>
      </c>
      <c r="E63">
        <v>8.0500000000000002E-2</v>
      </c>
      <c r="F63">
        <v>0</v>
      </c>
      <c r="G63">
        <v>1</v>
      </c>
      <c r="I63" s="9">
        <v>301</v>
      </c>
      <c r="J63" t="s">
        <v>27</v>
      </c>
      <c r="K63">
        <v>0.25819999999999999</v>
      </c>
      <c r="L63">
        <v>0.24460000000000001</v>
      </c>
      <c r="M63">
        <v>8.0399999999999999E-2</v>
      </c>
      <c r="N63">
        <v>0</v>
      </c>
      <c r="O63">
        <v>1</v>
      </c>
      <c r="Q63" s="9">
        <v>302</v>
      </c>
      <c r="R63" t="s">
        <v>27</v>
      </c>
      <c r="S63">
        <v>0.24879999999999999</v>
      </c>
      <c r="T63">
        <v>0.24249999999999999</v>
      </c>
      <c r="U63">
        <v>5.91E-2</v>
      </c>
      <c r="V63">
        <v>0</v>
      </c>
      <c r="W63">
        <v>1</v>
      </c>
      <c r="Y63" s="9">
        <v>303</v>
      </c>
      <c r="Z63" t="s">
        <v>27</v>
      </c>
      <c r="AA63">
        <v>0.24560000000000001</v>
      </c>
      <c r="AB63">
        <v>0.24249999999999999</v>
      </c>
      <c r="AC63">
        <v>1.49E-2</v>
      </c>
      <c r="AD63">
        <v>0.23139999999999999</v>
      </c>
      <c r="AE63">
        <v>0.35320000000000001</v>
      </c>
    </row>
    <row r="64" spans="1:31" x14ac:dyDescent="0.35">
      <c r="A64" s="9">
        <v>300</v>
      </c>
      <c r="B64" t="s">
        <v>28</v>
      </c>
      <c r="C64">
        <v>0.61099999999999999</v>
      </c>
      <c r="D64">
        <v>0.79469999999999996</v>
      </c>
      <c r="E64">
        <v>0.3826</v>
      </c>
      <c r="F64">
        <v>0</v>
      </c>
      <c r="G64">
        <v>1</v>
      </c>
      <c r="I64" s="9">
        <v>301</v>
      </c>
      <c r="J64" t="s">
        <v>28</v>
      </c>
      <c r="K64">
        <v>0.60770000000000002</v>
      </c>
      <c r="L64">
        <v>0.78659999999999997</v>
      </c>
      <c r="M64">
        <v>0.379</v>
      </c>
      <c r="N64">
        <v>0</v>
      </c>
      <c r="O64">
        <v>1</v>
      </c>
      <c r="Q64" s="9">
        <v>302</v>
      </c>
      <c r="R64" t="s">
        <v>28</v>
      </c>
      <c r="S64">
        <v>0.84330000000000005</v>
      </c>
      <c r="T64">
        <v>0.99860000000000004</v>
      </c>
      <c r="U64">
        <v>0.32900000000000001</v>
      </c>
      <c r="V64">
        <v>0</v>
      </c>
      <c r="W64">
        <v>1</v>
      </c>
      <c r="Y64" s="9">
        <v>303</v>
      </c>
      <c r="Z64" t="s">
        <v>28</v>
      </c>
      <c r="AA64">
        <v>1</v>
      </c>
      <c r="AB64">
        <v>1</v>
      </c>
      <c r="AC64">
        <v>0</v>
      </c>
      <c r="AD64">
        <v>1</v>
      </c>
      <c r="AE64">
        <v>1</v>
      </c>
    </row>
    <row r="65" spans="1:31" x14ac:dyDescent="0.35">
      <c r="A65" s="9">
        <v>300</v>
      </c>
      <c r="B65" t="s">
        <v>29</v>
      </c>
      <c r="C65">
        <v>0.30969999999999998</v>
      </c>
      <c r="D65">
        <v>0.37669999999999998</v>
      </c>
      <c r="E65">
        <v>0.14549999999999999</v>
      </c>
      <c r="F65">
        <v>0</v>
      </c>
      <c r="G65">
        <v>0.79790000000000005</v>
      </c>
      <c r="I65" s="9">
        <v>301</v>
      </c>
      <c r="J65" t="s">
        <v>29</v>
      </c>
      <c r="K65">
        <v>0.31009999999999999</v>
      </c>
      <c r="L65">
        <v>0.37459999999999999</v>
      </c>
      <c r="M65">
        <v>0.1449</v>
      </c>
      <c r="N65">
        <v>0</v>
      </c>
      <c r="O65">
        <v>0.79790000000000005</v>
      </c>
      <c r="Q65" s="9">
        <v>302</v>
      </c>
      <c r="R65" t="s">
        <v>29</v>
      </c>
      <c r="S65">
        <v>0.35320000000000001</v>
      </c>
      <c r="T65">
        <v>0.3886</v>
      </c>
      <c r="U65">
        <v>0.1019</v>
      </c>
      <c r="V65">
        <v>0</v>
      </c>
      <c r="W65">
        <v>0.67020000000000002</v>
      </c>
      <c r="Y65" s="9">
        <v>303</v>
      </c>
      <c r="Z65" t="s">
        <v>29</v>
      </c>
      <c r="AA65">
        <v>0.39410000000000001</v>
      </c>
      <c r="AB65">
        <v>0.39029999999999998</v>
      </c>
      <c r="AC65">
        <v>1.84E-2</v>
      </c>
      <c r="AD65">
        <v>0.37590000000000001</v>
      </c>
      <c r="AE65">
        <v>0.52210000000000001</v>
      </c>
    </row>
    <row r="66" spans="1:31" x14ac:dyDescent="0.35">
      <c r="A66" s="9">
        <v>310</v>
      </c>
      <c r="B66" t="s">
        <v>26</v>
      </c>
      <c r="C66">
        <v>0.24390000000000001</v>
      </c>
      <c r="D66">
        <v>0.2422</v>
      </c>
      <c r="E66">
        <v>2.58E-2</v>
      </c>
      <c r="F66">
        <v>0</v>
      </c>
      <c r="G66">
        <v>0.50819999999999999</v>
      </c>
      <c r="I66" s="9">
        <v>311</v>
      </c>
      <c r="J66" t="s">
        <v>26</v>
      </c>
      <c r="K66">
        <v>0.24379999999999999</v>
      </c>
      <c r="L66">
        <v>0.24229999999999999</v>
      </c>
      <c r="M66">
        <v>2.6100000000000002E-2</v>
      </c>
      <c r="N66">
        <v>0</v>
      </c>
      <c r="O66">
        <v>0.5141</v>
      </c>
      <c r="Q66" s="9">
        <v>312</v>
      </c>
      <c r="R66" t="s">
        <v>26</v>
      </c>
      <c r="S66">
        <v>0.24460000000000001</v>
      </c>
      <c r="T66">
        <v>0.2424</v>
      </c>
      <c r="U66">
        <v>2.3699999999999999E-2</v>
      </c>
      <c r="V66">
        <v>0</v>
      </c>
      <c r="W66">
        <v>0.52159999999999995</v>
      </c>
      <c r="Y66" s="9">
        <v>313</v>
      </c>
      <c r="Z66" t="s">
        <v>26</v>
      </c>
      <c r="AA66">
        <v>0.24560000000000001</v>
      </c>
      <c r="AB66">
        <v>0.24249999999999999</v>
      </c>
      <c r="AC66">
        <v>1.49E-2</v>
      </c>
      <c r="AD66">
        <v>0.23139999999999999</v>
      </c>
      <c r="AE66">
        <v>0.35320000000000001</v>
      </c>
    </row>
    <row r="67" spans="1:31" x14ac:dyDescent="0.35">
      <c r="A67" s="9">
        <v>310</v>
      </c>
      <c r="B67" t="s">
        <v>27</v>
      </c>
      <c r="C67">
        <v>0.2475</v>
      </c>
      <c r="D67">
        <v>0.24249999999999999</v>
      </c>
      <c r="E67">
        <v>3.6900000000000002E-2</v>
      </c>
      <c r="F67">
        <v>0</v>
      </c>
      <c r="G67">
        <v>0.99929999999999997</v>
      </c>
      <c r="I67" s="9">
        <v>311</v>
      </c>
      <c r="J67" t="s">
        <v>27</v>
      </c>
      <c r="K67">
        <v>0.2477</v>
      </c>
      <c r="L67">
        <v>0.24249999999999999</v>
      </c>
      <c r="M67">
        <v>3.7600000000000001E-2</v>
      </c>
      <c r="N67">
        <v>0</v>
      </c>
      <c r="O67">
        <v>1</v>
      </c>
      <c r="Q67" s="9">
        <v>312</v>
      </c>
      <c r="R67" t="s">
        <v>27</v>
      </c>
      <c r="S67">
        <v>0.247</v>
      </c>
      <c r="T67">
        <v>0.24260000000000001</v>
      </c>
      <c r="U67">
        <v>2.93E-2</v>
      </c>
      <c r="V67">
        <v>0</v>
      </c>
      <c r="W67">
        <v>0.89439999999999997</v>
      </c>
      <c r="Y67" s="9">
        <v>313</v>
      </c>
      <c r="Z67" t="s">
        <v>27</v>
      </c>
      <c r="AA67">
        <v>0.24560000000000001</v>
      </c>
      <c r="AB67">
        <v>0.24249999999999999</v>
      </c>
      <c r="AC67">
        <v>1.49E-2</v>
      </c>
      <c r="AD67">
        <v>0.23139999999999999</v>
      </c>
      <c r="AE67">
        <v>0.35320000000000001</v>
      </c>
    </row>
    <row r="68" spans="1:31" x14ac:dyDescent="0.35">
      <c r="A68" s="9">
        <v>310</v>
      </c>
      <c r="B68" t="s">
        <v>28</v>
      </c>
      <c r="C68">
        <v>0.98399999999999999</v>
      </c>
      <c r="D68">
        <v>0.99790000000000001</v>
      </c>
      <c r="E68">
        <v>0.1057</v>
      </c>
      <c r="F68">
        <v>0</v>
      </c>
      <c r="G68">
        <v>1</v>
      </c>
      <c r="I68" s="9">
        <v>311</v>
      </c>
      <c r="J68" t="s">
        <v>28</v>
      </c>
      <c r="K68">
        <v>0.98360000000000003</v>
      </c>
      <c r="L68">
        <v>0.99850000000000005</v>
      </c>
      <c r="M68">
        <v>0.1095</v>
      </c>
      <c r="N68">
        <v>0</v>
      </c>
      <c r="O68">
        <v>1</v>
      </c>
      <c r="Q68" s="9">
        <v>312</v>
      </c>
      <c r="R68" t="s">
        <v>28</v>
      </c>
      <c r="S68">
        <v>0.98650000000000004</v>
      </c>
      <c r="T68">
        <v>0.997</v>
      </c>
      <c r="U68">
        <v>8.6999999999999994E-2</v>
      </c>
      <c r="V68">
        <v>0</v>
      </c>
      <c r="W68">
        <v>1</v>
      </c>
      <c r="Y68" s="9">
        <v>313</v>
      </c>
      <c r="Z68" t="s">
        <v>28</v>
      </c>
      <c r="AA68">
        <v>1</v>
      </c>
      <c r="AB68">
        <v>1</v>
      </c>
      <c r="AC68">
        <v>0</v>
      </c>
      <c r="AD68">
        <v>1</v>
      </c>
      <c r="AE68">
        <v>1</v>
      </c>
    </row>
    <row r="69" spans="1:31" x14ac:dyDescent="0.35">
      <c r="A69" s="9">
        <v>310</v>
      </c>
      <c r="B69" t="s">
        <v>29</v>
      </c>
      <c r="C69">
        <v>0.39140000000000003</v>
      </c>
      <c r="D69">
        <v>0.39</v>
      </c>
      <c r="E69">
        <v>3.6299999999999999E-2</v>
      </c>
      <c r="F69">
        <v>0</v>
      </c>
      <c r="G69">
        <v>0.67390000000000005</v>
      </c>
      <c r="I69" s="9">
        <v>311</v>
      </c>
      <c r="J69" t="s">
        <v>29</v>
      </c>
      <c r="K69">
        <v>0.39129999999999998</v>
      </c>
      <c r="L69">
        <v>0.3901</v>
      </c>
      <c r="M69">
        <v>3.6600000000000001E-2</v>
      </c>
      <c r="N69">
        <v>0</v>
      </c>
      <c r="O69">
        <v>0.67910000000000004</v>
      </c>
      <c r="Q69" s="9">
        <v>312</v>
      </c>
      <c r="R69" t="s">
        <v>29</v>
      </c>
      <c r="S69">
        <v>0.39240000000000003</v>
      </c>
      <c r="T69">
        <v>0.39019999999999999</v>
      </c>
      <c r="U69">
        <v>3.2000000000000001E-2</v>
      </c>
      <c r="V69">
        <v>0</v>
      </c>
      <c r="W69">
        <v>0.68559999999999999</v>
      </c>
      <c r="Y69" s="9">
        <v>313</v>
      </c>
      <c r="Z69" t="s">
        <v>29</v>
      </c>
      <c r="AA69">
        <v>0.39410000000000001</v>
      </c>
      <c r="AB69">
        <v>0.39029999999999998</v>
      </c>
      <c r="AC69">
        <v>1.84E-2</v>
      </c>
      <c r="AD69">
        <v>0.37590000000000001</v>
      </c>
      <c r="AE69">
        <v>0.52210000000000001</v>
      </c>
    </row>
    <row r="70" spans="1:31" x14ac:dyDescent="0.35">
      <c r="A70" s="9">
        <v>320</v>
      </c>
      <c r="B70" t="s">
        <v>26</v>
      </c>
      <c r="C70">
        <v>0.2321</v>
      </c>
      <c r="D70">
        <v>0.2316</v>
      </c>
      <c r="E70">
        <v>1.8800000000000001E-2</v>
      </c>
      <c r="F70">
        <v>0.1794</v>
      </c>
      <c r="G70">
        <v>0.35670000000000002</v>
      </c>
      <c r="I70" s="9">
        <v>321</v>
      </c>
      <c r="J70" t="s">
        <v>26</v>
      </c>
      <c r="K70">
        <v>0.2324</v>
      </c>
      <c r="L70">
        <v>0.2321</v>
      </c>
      <c r="M70">
        <v>1.9099999999999999E-2</v>
      </c>
      <c r="N70">
        <v>0.17030000000000001</v>
      </c>
      <c r="O70">
        <v>0.38279999999999997</v>
      </c>
      <c r="Q70" s="9">
        <v>322</v>
      </c>
      <c r="R70" t="s">
        <v>26</v>
      </c>
      <c r="S70">
        <v>0.2238</v>
      </c>
      <c r="T70">
        <v>0.222</v>
      </c>
      <c r="U70">
        <v>1.8700000000000001E-2</v>
      </c>
      <c r="V70">
        <v>0.16489999999999999</v>
      </c>
      <c r="W70">
        <v>0.41289999999999999</v>
      </c>
      <c r="Y70" s="9">
        <v>323</v>
      </c>
      <c r="Z70" t="s">
        <v>26</v>
      </c>
      <c r="AA70">
        <v>0.24560000000000001</v>
      </c>
      <c r="AB70">
        <v>0.24249999999999999</v>
      </c>
      <c r="AC70">
        <v>1.49E-2</v>
      </c>
      <c r="AD70">
        <v>0.23139999999999999</v>
      </c>
      <c r="AE70">
        <v>0.35320000000000001</v>
      </c>
    </row>
    <row r="71" spans="1:31" x14ac:dyDescent="0.35">
      <c r="A71" s="9">
        <v>320</v>
      </c>
      <c r="B71" t="s">
        <v>27</v>
      </c>
      <c r="C71">
        <v>0.2455</v>
      </c>
      <c r="D71">
        <v>0.2424</v>
      </c>
      <c r="E71">
        <v>1.8100000000000002E-2</v>
      </c>
      <c r="F71">
        <v>0.2014</v>
      </c>
      <c r="G71">
        <v>0.38</v>
      </c>
      <c r="I71" s="9">
        <v>321</v>
      </c>
      <c r="J71" t="s">
        <v>27</v>
      </c>
      <c r="K71">
        <v>0.24560000000000001</v>
      </c>
      <c r="L71">
        <v>0.24279999999999999</v>
      </c>
      <c r="M71">
        <v>1.8499999999999999E-2</v>
      </c>
      <c r="N71">
        <v>0.1951</v>
      </c>
      <c r="O71">
        <v>0.4098</v>
      </c>
      <c r="Q71" s="9">
        <v>322</v>
      </c>
      <c r="R71" t="s">
        <v>27</v>
      </c>
      <c r="S71">
        <v>0.2465</v>
      </c>
      <c r="T71">
        <v>0.2427</v>
      </c>
      <c r="U71">
        <v>2.0299999999999999E-2</v>
      </c>
      <c r="V71">
        <v>0.19800000000000001</v>
      </c>
      <c r="W71">
        <v>0.4758</v>
      </c>
      <c r="Y71" s="9">
        <v>323</v>
      </c>
      <c r="Z71" t="s">
        <v>27</v>
      </c>
      <c r="AA71">
        <v>0.24560000000000001</v>
      </c>
      <c r="AB71">
        <v>0.24249999999999999</v>
      </c>
      <c r="AC71">
        <v>1.49E-2</v>
      </c>
      <c r="AD71">
        <v>0.23139999999999999</v>
      </c>
      <c r="AE71">
        <v>0.35320000000000001</v>
      </c>
    </row>
    <row r="72" spans="1:31" x14ac:dyDescent="0.35">
      <c r="A72" s="9">
        <v>320</v>
      </c>
      <c r="B72" t="s">
        <v>28</v>
      </c>
      <c r="C72">
        <v>0.81759999999999999</v>
      </c>
      <c r="D72">
        <v>0.86529999999999996</v>
      </c>
      <c r="E72">
        <v>9.2600000000000002E-2</v>
      </c>
      <c r="F72">
        <v>0.53359999999999996</v>
      </c>
      <c r="G72">
        <v>0.92010000000000003</v>
      </c>
      <c r="I72" s="9">
        <v>321</v>
      </c>
      <c r="J72" t="s">
        <v>28</v>
      </c>
      <c r="K72">
        <v>0.82</v>
      </c>
      <c r="L72">
        <v>0.86799999999999999</v>
      </c>
      <c r="M72">
        <v>9.2999999999999999E-2</v>
      </c>
      <c r="N72">
        <v>0.52439999999999998</v>
      </c>
      <c r="O72">
        <v>0.92579999999999996</v>
      </c>
      <c r="Q72" s="9">
        <v>322</v>
      </c>
      <c r="R72" t="s">
        <v>28</v>
      </c>
      <c r="S72">
        <v>0.7137</v>
      </c>
      <c r="T72">
        <v>0.72850000000000004</v>
      </c>
      <c r="U72">
        <v>6.54E-2</v>
      </c>
      <c r="V72">
        <v>0.37380000000000002</v>
      </c>
      <c r="W72">
        <v>0.85640000000000005</v>
      </c>
      <c r="Y72" s="9">
        <v>323</v>
      </c>
      <c r="Z72" t="s">
        <v>28</v>
      </c>
      <c r="AA72">
        <v>1</v>
      </c>
      <c r="AB72">
        <v>1</v>
      </c>
      <c r="AC72">
        <v>0</v>
      </c>
      <c r="AD72">
        <v>1</v>
      </c>
      <c r="AE72">
        <v>1</v>
      </c>
    </row>
    <row r="73" spans="1:31" x14ac:dyDescent="0.35">
      <c r="A73" s="9">
        <v>320</v>
      </c>
      <c r="B73" t="s">
        <v>29</v>
      </c>
      <c r="C73">
        <v>0.37640000000000001</v>
      </c>
      <c r="D73">
        <v>0.37609999999999999</v>
      </c>
      <c r="E73">
        <v>2.4199999999999999E-2</v>
      </c>
      <c r="F73">
        <v>0.30420000000000003</v>
      </c>
      <c r="G73">
        <v>0.52580000000000005</v>
      </c>
      <c r="I73" s="9">
        <v>321</v>
      </c>
      <c r="J73" t="s">
        <v>29</v>
      </c>
      <c r="K73">
        <v>0.37680000000000002</v>
      </c>
      <c r="L73">
        <v>0.37680000000000002</v>
      </c>
      <c r="M73">
        <v>2.46E-2</v>
      </c>
      <c r="N73">
        <v>0.29099999999999998</v>
      </c>
      <c r="O73">
        <v>0.55359999999999998</v>
      </c>
      <c r="Q73" s="9">
        <v>322</v>
      </c>
      <c r="R73" t="s">
        <v>29</v>
      </c>
      <c r="S73">
        <v>0.3654</v>
      </c>
      <c r="T73">
        <v>0.3634</v>
      </c>
      <c r="U73">
        <v>2.4299999999999999E-2</v>
      </c>
      <c r="V73">
        <v>0.28310000000000002</v>
      </c>
      <c r="W73">
        <v>0.58450000000000002</v>
      </c>
      <c r="Y73" s="9">
        <v>323</v>
      </c>
      <c r="Z73" t="s">
        <v>29</v>
      </c>
      <c r="AA73">
        <v>0.39410000000000001</v>
      </c>
      <c r="AB73">
        <v>0.39029999999999998</v>
      </c>
      <c r="AC73">
        <v>1.84E-2</v>
      </c>
      <c r="AD73">
        <v>0.37590000000000001</v>
      </c>
      <c r="AE73">
        <v>0.52210000000000001</v>
      </c>
    </row>
    <row r="74" spans="1:31" x14ac:dyDescent="0.35">
      <c r="A74" s="9">
        <v>330</v>
      </c>
      <c r="B74" t="s">
        <v>26</v>
      </c>
      <c r="C74">
        <v>0.2205</v>
      </c>
      <c r="D74">
        <v>0.23519999999999999</v>
      </c>
      <c r="E74">
        <v>7.3999999999999996E-2</v>
      </c>
      <c r="F74">
        <v>0</v>
      </c>
      <c r="G74">
        <v>0.56899999999999995</v>
      </c>
      <c r="I74" s="9">
        <v>331</v>
      </c>
      <c r="J74" t="s">
        <v>26</v>
      </c>
      <c r="K74">
        <v>0.21970000000000001</v>
      </c>
      <c r="L74">
        <v>0.23499999999999999</v>
      </c>
      <c r="M74">
        <v>7.4399999999999994E-2</v>
      </c>
      <c r="N74">
        <v>0</v>
      </c>
      <c r="O74">
        <v>0.56559999999999999</v>
      </c>
      <c r="Q74" s="9">
        <v>332</v>
      </c>
      <c r="R74" t="s">
        <v>26</v>
      </c>
      <c r="S74">
        <v>0.2447</v>
      </c>
      <c r="T74">
        <v>0.2422</v>
      </c>
      <c r="U74">
        <v>1.9599999999999999E-2</v>
      </c>
      <c r="V74">
        <v>2.53E-2</v>
      </c>
      <c r="W74">
        <v>0.35510000000000003</v>
      </c>
      <c r="Y74" s="9">
        <v>333</v>
      </c>
      <c r="Z74" t="s">
        <v>26</v>
      </c>
      <c r="AA74">
        <v>0.24560000000000001</v>
      </c>
      <c r="AB74">
        <v>0.24249999999999999</v>
      </c>
      <c r="AC74">
        <v>1.49E-2</v>
      </c>
      <c r="AD74">
        <v>0.23139999999999999</v>
      </c>
      <c r="AE74">
        <v>0.35320000000000001</v>
      </c>
    </row>
    <row r="75" spans="1:31" x14ac:dyDescent="0.35">
      <c r="A75" s="9">
        <v>330</v>
      </c>
      <c r="B75" t="s">
        <v>27</v>
      </c>
      <c r="C75">
        <v>0.25900000000000001</v>
      </c>
      <c r="D75">
        <v>0.24490000000000001</v>
      </c>
      <c r="E75">
        <v>5.8299999999999998E-2</v>
      </c>
      <c r="F75">
        <v>0</v>
      </c>
      <c r="G75">
        <v>0.89600000000000002</v>
      </c>
      <c r="I75" s="9">
        <v>331</v>
      </c>
      <c r="J75" t="s">
        <v>27</v>
      </c>
      <c r="K75">
        <v>0.2591</v>
      </c>
      <c r="L75">
        <v>0.245</v>
      </c>
      <c r="M75">
        <v>5.8700000000000002E-2</v>
      </c>
      <c r="N75">
        <v>0</v>
      </c>
      <c r="O75">
        <v>0.8891</v>
      </c>
      <c r="Q75" s="9">
        <v>332</v>
      </c>
      <c r="R75" t="s">
        <v>27</v>
      </c>
      <c r="S75">
        <v>0.24679999999999999</v>
      </c>
      <c r="T75">
        <v>0.24249999999999999</v>
      </c>
      <c r="U75">
        <v>2.1499999999999998E-2</v>
      </c>
      <c r="V75">
        <v>6.9800000000000001E-2</v>
      </c>
      <c r="W75">
        <v>0.5353</v>
      </c>
      <c r="Y75" s="9">
        <v>333</v>
      </c>
      <c r="Z75" t="s">
        <v>27</v>
      </c>
      <c r="AA75">
        <v>0.24560000000000001</v>
      </c>
      <c r="AB75">
        <v>0.24249999999999999</v>
      </c>
      <c r="AC75">
        <v>1.49E-2</v>
      </c>
      <c r="AD75">
        <v>0.23139999999999999</v>
      </c>
      <c r="AE75">
        <v>0.35320000000000001</v>
      </c>
    </row>
    <row r="76" spans="1:31" x14ac:dyDescent="0.35">
      <c r="A76" s="9">
        <v>330</v>
      </c>
      <c r="B76" t="s">
        <v>28</v>
      </c>
      <c r="C76">
        <v>0.70809999999999995</v>
      </c>
      <c r="D76">
        <v>0.83209999999999995</v>
      </c>
      <c r="E76">
        <v>0.30109999999999998</v>
      </c>
      <c r="F76">
        <v>0</v>
      </c>
      <c r="G76">
        <v>0.99990000000000001</v>
      </c>
      <c r="I76" s="9">
        <v>331</v>
      </c>
      <c r="J76" t="s">
        <v>28</v>
      </c>
      <c r="K76">
        <v>0.70050000000000001</v>
      </c>
      <c r="L76">
        <v>0.81920000000000004</v>
      </c>
      <c r="M76">
        <v>0.3009</v>
      </c>
      <c r="N76">
        <v>0</v>
      </c>
      <c r="O76">
        <v>0.99950000000000006</v>
      </c>
      <c r="Q76" s="9">
        <v>332</v>
      </c>
      <c r="R76" t="s">
        <v>28</v>
      </c>
      <c r="S76">
        <v>0.98719999999999997</v>
      </c>
      <c r="T76">
        <v>0.99919999999999998</v>
      </c>
      <c r="U76">
        <v>8.3599999999999994E-2</v>
      </c>
      <c r="V76">
        <v>3.8100000000000002E-2</v>
      </c>
      <c r="W76">
        <v>1</v>
      </c>
      <c r="Y76" s="9">
        <v>333</v>
      </c>
      <c r="Z76" t="s">
        <v>28</v>
      </c>
      <c r="AA76">
        <v>1</v>
      </c>
      <c r="AB76">
        <v>1</v>
      </c>
      <c r="AC76">
        <v>0</v>
      </c>
      <c r="AD76">
        <v>1</v>
      </c>
      <c r="AE76">
        <v>1</v>
      </c>
    </row>
    <row r="77" spans="1:31" x14ac:dyDescent="0.35">
      <c r="A77" s="9">
        <v>330</v>
      </c>
      <c r="B77" t="s">
        <v>29</v>
      </c>
      <c r="C77">
        <v>0.35499999999999998</v>
      </c>
      <c r="D77">
        <v>0.38080000000000003</v>
      </c>
      <c r="E77">
        <v>0.1053</v>
      </c>
      <c r="F77">
        <v>0</v>
      </c>
      <c r="G77">
        <v>0.72529999999999994</v>
      </c>
      <c r="I77" s="9">
        <v>331</v>
      </c>
      <c r="J77" t="s">
        <v>29</v>
      </c>
      <c r="K77">
        <v>0.3538</v>
      </c>
      <c r="L77">
        <v>0.38059999999999999</v>
      </c>
      <c r="M77">
        <v>0.106</v>
      </c>
      <c r="N77">
        <v>0</v>
      </c>
      <c r="O77">
        <v>0.72250000000000003</v>
      </c>
      <c r="Q77" s="9">
        <v>332</v>
      </c>
      <c r="R77" t="s">
        <v>29</v>
      </c>
      <c r="S77">
        <v>0.39279999999999998</v>
      </c>
      <c r="T77">
        <v>0.39</v>
      </c>
      <c r="U77">
        <v>2.58E-2</v>
      </c>
      <c r="V77">
        <v>4.9299999999999997E-2</v>
      </c>
      <c r="W77">
        <v>0.52410000000000001</v>
      </c>
      <c r="Y77" s="9">
        <v>333</v>
      </c>
      <c r="Z77" t="s">
        <v>29</v>
      </c>
      <c r="AA77">
        <v>0.39410000000000001</v>
      </c>
      <c r="AB77">
        <v>0.39029999999999998</v>
      </c>
      <c r="AC77">
        <v>1.84E-2</v>
      </c>
      <c r="AD77">
        <v>0.37590000000000001</v>
      </c>
      <c r="AE77">
        <v>0.52210000000000001</v>
      </c>
    </row>
    <row r="78" spans="1:31" x14ac:dyDescent="0.35">
      <c r="A78" s="9">
        <v>340</v>
      </c>
      <c r="B78" t="s">
        <v>26</v>
      </c>
      <c r="C78">
        <v>0.20180000000000001</v>
      </c>
      <c r="D78">
        <v>0.23760000000000001</v>
      </c>
      <c r="E78">
        <v>9.2299999999999993E-2</v>
      </c>
      <c r="F78">
        <v>0</v>
      </c>
      <c r="G78">
        <v>0.6623</v>
      </c>
      <c r="I78" s="9">
        <v>341</v>
      </c>
      <c r="J78" t="s">
        <v>26</v>
      </c>
      <c r="K78">
        <v>0.20200000000000001</v>
      </c>
      <c r="L78">
        <v>0.23760000000000001</v>
      </c>
      <c r="M78">
        <v>9.1999999999999998E-2</v>
      </c>
      <c r="N78">
        <v>0</v>
      </c>
      <c r="O78">
        <v>0.66320000000000001</v>
      </c>
      <c r="Q78" s="9">
        <v>342</v>
      </c>
      <c r="R78" t="s">
        <v>26</v>
      </c>
      <c r="S78">
        <v>0.2356</v>
      </c>
      <c r="T78">
        <v>0.24199999999999999</v>
      </c>
      <c r="U78">
        <v>4.5499999999999999E-2</v>
      </c>
      <c r="V78">
        <v>0</v>
      </c>
      <c r="W78">
        <v>0.52910000000000001</v>
      </c>
      <c r="Y78" s="9">
        <v>343</v>
      </c>
      <c r="Z78" t="s">
        <v>26</v>
      </c>
      <c r="AA78">
        <v>0.24560000000000001</v>
      </c>
      <c r="AB78">
        <v>0.24249999999999999</v>
      </c>
      <c r="AC78">
        <v>1.49E-2</v>
      </c>
      <c r="AD78">
        <v>0.23139999999999999</v>
      </c>
      <c r="AE78">
        <v>0.35320000000000001</v>
      </c>
    </row>
    <row r="79" spans="1:31" x14ac:dyDescent="0.35">
      <c r="A79" s="9">
        <v>340</v>
      </c>
      <c r="B79" t="s">
        <v>27</v>
      </c>
      <c r="C79">
        <v>0.25669999999999998</v>
      </c>
      <c r="D79">
        <v>0.24429999999999999</v>
      </c>
      <c r="E79">
        <v>7.6100000000000001E-2</v>
      </c>
      <c r="F79">
        <v>0</v>
      </c>
      <c r="G79">
        <v>1</v>
      </c>
      <c r="I79" s="9">
        <v>341</v>
      </c>
      <c r="J79" t="s">
        <v>27</v>
      </c>
      <c r="K79">
        <v>0.2571</v>
      </c>
      <c r="L79">
        <v>0.24429999999999999</v>
      </c>
      <c r="M79">
        <v>7.5399999999999995E-2</v>
      </c>
      <c r="N79">
        <v>0</v>
      </c>
      <c r="O79">
        <v>1</v>
      </c>
      <c r="Q79" s="9">
        <v>342</v>
      </c>
      <c r="R79" t="s">
        <v>27</v>
      </c>
      <c r="S79">
        <v>0.24979999999999999</v>
      </c>
      <c r="T79">
        <v>0.24260000000000001</v>
      </c>
      <c r="U79">
        <v>4.9099999999999998E-2</v>
      </c>
      <c r="V79">
        <v>0</v>
      </c>
      <c r="W79">
        <v>1</v>
      </c>
      <c r="Y79" s="9">
        <v>343</v>
      </c>
      <c r="Z79" t="s">
        <v>27</v>
      </c>
      <c r="AA79">
        <v>0.24560000000000001</v>
      </c>
      <c r="AB79">
        <v>0.24249999999999999</v>
      </c>
      <c r="AC79">
        <v>1.49E-2</v>
      </c>
      <c r="AD79">
        <v>0.23139999999999999</v>
      </c>
      <c r="AE79">
        <v>0.35320000000000001</v>
      </c>
    </row>
    <row r="80" spans="1:31" x14ac:dyDescent="0.35">
      <c r="A80" s="9">
        <v>340</v>
      </c>
      <c r="B80" t="s">
        <v>28</v>
      </c>
      <c r="C80">
        <v>0.69469999999999998</v>
      </c>
      <c r="D80">
        <v>0.94479999999999997</v>
      </c>
      <c r="E80">
        <v>0.38479999999999998</v>
      </c>
      <c r="F80">
        <v>0</v>
      </c>
      <c r="G80">
        <v>1</v>
      </c>
      <c r="I80" s="9">
        <v>341</v>
      </c>
      <c r="J80" t="s">
        <v>28</v>
      </c>
      <c r="K80">
        <v>0.69199999999999995</v>
      </c>
      <c r="L80">
        <v>0.93899999999999995</v>
      </c>
      <c r="M80">
        <v>0.38340000000000002</v>
      </c>
      <c r="N80">
        <v>0</v>
      </c>
      <c r="O80">
        <v>1</v>
      </c>
      <c r="Q80" s="9">
        <v>342</v>
      </c>
      <c r="R80" t="s">
        <v>28</v>
      </c>
      <c r="S80">
        <v>0.92620000000000002</v>
      </c>
      <c r="T80">
        <v>0.99839999999999995</v>
      </c>
      <c r="U80">
        <v>0.2243</v>
      </c>
      <c r="V80">
        <v>0</v>
      </c>
      <c r="W80">
        <v>1</v>
      </c>
      <c r="Y80" s="9">
        <v>343</v>
      </c>
      <c r="Z80" t="s">
        <v>28</v>
      </c>
      <c r="AA80">
        <v>1</v>
      </c>
      <c r="AB80">
        <v>1</v>
      </c>
      <c r="AC80">
        <v>0</v>
      </c>
      <c r="AD80">
        <v>1</v>
      </c>
      <c r="AE80">
        <v>1</v>
      </c>
    </row>
    <row r="81" spans="1:31" x14ac:dyDescent="0.35">
      <c r="A81" s="9">
        <v>340</v>
      </c>
      <c r="B81" t="s">
        <v>29</v>
      </c>
      <c r="C81">
        <v>0.32529999999999998</v>
      </c>
      <c r="D81">
        <v>0.38400000000000001</v>
      </c>
      <c r="E81">
        <v>0.13789999999999999</v>
      </c>
      <c r="F81">
        <v>0</v>
      </c>
      <c r="G81">
        <v>0.79690000000000005</v>
      </c>
      <c r="I81" s="9">
        <v>341</v>
      </c>
      <c r="J81" t="s">
        <v>29</v>
      </c>
      <c r="K81">
        <v>0.3256</v>
      </c>
      <c r="L81">
        <v>0.38390000000000002</v>
      </c>
      <c r="M81">
        <v>0.13719999999999999</v>
      </c>
      <c r="N81">
        <v>0</v>
      </c>
      <c r="O81">
        <v>0.79749999999999999</v>
      </c>
      <c r="Q81" s="9">
        <v>342</v>
      </c>
      <c r="R81" t="s">
        <v>29</v>
      </c>
      <c r="S81">
        <v>0.37890000000000001</v>
      </c>
      <c r="T81">
        <v>0.3896</v>
      </c>
      <c r="U81">
        <v>6.6799999999999998E-2</v>
      </c>
      <c r="V81">
        <v>0</v>
      </c>
      <c r="W81">
        <v>0.69199999999999995</v>
      </c>
      <c r="Y81" s="9">
        <v>343</v>
      </c>
      <c r="Z81" t="s">
        <v>29</v>
      </c>
      <c r="AA81">
        <v>0.39410000000000001</v>
      </c>
      <c r="AB81">
        <v>0.39029999999999998</v>
      </c>
      <c r="AC81">
        <v>1.84E-2</v>
      </c>
      <c r="AD81">
        <v>0.37590000000000001</v>
      </c>
      <c r="AE81">
        <v>0.52210000000000001</v>
      </c>
    </row>
    <row r="82" spans="1:31" x14ac:dyDescent="0.35">
      <c r="A82" s="9">
        <v>400</v>
      </c>
      <c r="B82" t="s">
        <v>26</v>
      </c>
      <c r="C82">
        <v>0.1908</v>
      </c>
      <c r="D82">
        <v>0.21729999999999999</v>
      </c>
      <c r="E82">
        <v>8.1100000000000005E-2</v>
      </c>
      <c r="F82">
        <v>0</v>
      </c>
      <c r="G82">
        <v>0.54479999999999995</v>
      </c>
      <c r="I82" s="9">
        <v>401</v>
      </c>
      <c r="J82" t="s">
        <v>26</v>
      </c>
      <c r="K82">
        <v>0.19120000000000001</v>
      </c>
      <c r="L82">
        <v>0.21679999999999999</v>
      </c>
      <c r="M82">
        <v>8.1100000000000005E-2</v>
      </c>
      <c r="N82">
        <v>0</v>
      </c>
      <c r="O82">
        <v>0.54459999999999997</v>
      </c>
      <c r="Q82" s="9">
        <v>402</v>
      </c>
      <c r="R82" t="s">
        <v>26</v>
      </c>
      <c r="S82">
        <v>0.19980000000000001</v>
      </c>
      <c r="T82">
        <v>0.2271</v>
      </c>
      <c r="U82">
        <v>7.2999999999999995E-2</v>
      </c>
      <c r="V82">
        <v>0</v>
      </c>
      <c r="W82">
        <v>0.5151</v>
      </c>
      <c r="Y82" s="9">
        <v>403</v>
      </c>
      <c r="Z82" t="s">
        <v>26</v>
      </c>
      <c r="AA82">
        <v>0.24560000000000001</v>
      </c>
      <c r="AB82">
        <v>0.24249999999999999</v>
      </c>
      <c r="AC82">
        <v>1.49E-2</v>
      </c>
      <c r="AD82">
        <v>0.23139999999999999</v>
      </c>
      <c r="AE82">
        <v>0.35320000000000001</v>
      </c>
    </row>
    <row r="83" spans="1:31" x14ac:dyDescent="0.35">
      <c r="A83" s="9">
        <v>400</v>
      </c>
      <c r="B83" t="s">
        <v>27</v>
      </c>
      <c r="C83">
        <v>0.2392</v>
      </c>
      <c r="D83">
        <v>0.23949999999999999</v>
      </c>
      <c r="E83">
        <v>7.6200000000000004E-2</v>
      </c>
      <c r="F83">
        <v>0</v>
      </c>
      <c r="G83">
        <v>0.999</v>
      </c>
      <c r="I83" s="9">
        <v>401</v>
      </c>
      <c r="J83" t="s">
        <v>27</v>
      </c>
      <c r="K83">
        <v>0.23980000000000001</v>
      </c>
      <c r="L83">
        <v>0.2394</v>
      </c>
      <c r="M83">
        <v>7.6300000000000007E-2</v>
      </c>
      <c r="N83">
        <v>0</v>
      </c>
      <c r="O83">
        <v>0.999</v>
      </c>
      <c r="Q83" s="9">
        <v>402</v>
      </c>
      <c r="R83" t="s">
        <v>27</v>
      </c>
      <c r="S83">
        <v>0.2394</v>
      </c>
      <c r="T83">
        <v>0.24030000000000001</v>
      </c>
      <c r="U83">
        <v>6.5199999999999994E-2</v>
      </c>
      <c r="V83">
        <v>0</v>
      </c>
      <c r="W83">
        <v>0.98380000000000001</v>
      </c>
      <c r="Y83" s="9">
        <v>403</v>
      </c>
      <c r="Z83" t="s">
        <v>27</v>
      </c>
      <c r="AA83">
        <v>0.24560000000000001</v>
      </c>
      <c r="AB83">
        <v>0.24249999999999999</v>
      </c>
      <c r="AC83">
        <v>1.49E-2</v>
      </c>
      <c r="AD83">
        <v>0.23139999999999999</v>
      </c>
      <c r="AE83">
        <v>0.35320000000000001</v>
      </c>
    </row>
    <row r="84" spans="1:31" x14ac:dyDescent="0.35">
      <c r="A84" s="9">
        <v>400</v>
      </c>
      <c r="B84" t="s">
        <v>28</v>
      </c>
      <c r="C84">
        <v>0.61350000000000005</v>
      </c>
      <c r="D84">
        <v>0.73089999999999999</v>
      </c>
      <c r="E84">
        <v>0.31909999999999999</v>
      </c>
      <c r="F84">
        <v>0</v>
      </c>
      <c r="G84">
        <v>1</v>
      </c>
      <c r="I84" s="9">
        <v>401</v>
      </c>
      <c r="J84" t="s">
        <v>28</v>
      </c>
      <c r="K84">
        <v>0.6129</v>
      </c>
      <c r="L84">
        <v>0.73160000000000003</v>
      </c>
      <c r="M84">
        <v>0.318</v>
      </c>
      <c r="N84">
        <v>0</v>
      </c>
      <c r="O84">
        <v>1</v>
      </c>
      <c r="Q84" s="9">
        <v>402</v>
      </c>
      <c r="R84" t="s">
        <v>28</v>
      </c>
      <c r="S84">
        <v>0.68540000000000001</v>
      </c>
      <c r="T84">
        <v>0.82240000000000002</v>
      </c>
      <c r="U84">
        <v>0.3201</v>
      </c>
      <c r="V84">
        <v>0</v>
      </c>
      <c r="W84">
        <v>1</v>
      </c>
      <c r="Y84" s="9">
        <v>403</v>
      </c>
      <c r="Z84" t="s">
        <v>28</v>
      </c>
      <c r="AA84">
        <v>1</v>
      </c>
      <c r="AB84">
        <v>1</v>
      </c>
      <c r="AC84">
        <v>0</v>
      </c>
      <c r="AD84">
        <v>1</v>
      </c>
      <c r="AE84">
        <v>1</v>
      </c>
    </row>
    <row r="85" spans="1:31" x14ac:dyDescent="0.35">
      <c r="A85" s="9">
        <v>400</v>
      </c>
      <c r="B85" t="s">
        <v>29</v>
      </c>
      <c r="C85">
        <v>0.31209999999999999</v>
      </c>
      <c r="D85">
        <v>0.35699999999999998</v>
      </c>
      <c r="E85">
        <v>0.12280000000000001</v>
      </c>
      <c r="F85">
        <v>0</v>
      </c>
      <c r="G85">
        <v>0.70530000000000004</v>
      </c>
      <c r="I85" s="9">
        <v>401</v>
      </c>
      <c r="J85" t="s">
        <v>29</v>
      </c>
      <c r="K85">
        <v>0.31259999999999999</v>
      </c>
      <c r="L85">
        <v>0.35630000000000001</v>
      </c>
      <c r="M85">
        <v>0.1225</v>
      </c>
      <c r="N85">
        <v>0</v>
      </c>
      <c r="O85">
        <v>0.70520000000000005</v>
      </c>
      <c r="Q85" s="9">
        <v>402</v>
      </c>
      <c r="R85" t="s">
        <v>29</v>
      </c>
      <c r="S85">
        <v>0.32619999999999999</v>
      </c>
      <c r="T85">
        <v>0.37009999999999998</v>
      </c>
      <c r="U85">
        <v>0.1116</v>
      </c>
      <c r="V85">
        <v>0</v>
      </c>
      <c r="W85">
        <v>0.68</v>
      </c>
      <c r="Y85" s="9">
        <v>403</v>
      </c>
      <c r="Z85" t="s">
        <v>29</v>
      </c>
      <c r="AA85">
        <v>0.39410000000000001</v>
      </c>
      <c r="AB85">
        <v>0.39029999999999998</v>
      </c>
      <c r="AC85">
        <v>1.84E-2</v>
      </c>
      <c r="AD85">
        <v>0.37590000000000001</v>
      </c>
      <c r="AE85">
        <v>0.52210000000000001</v>
      </c>
    </row>
    <row r="86" spans="1:31" x14ac:dyDescent="0.35">
      <c r="A86" s="9">
        <v>410</v>
      </c>
      <c r="B86" t="s">
        <v>26</v>
      </c>
      <c r="C86">
        <v>0.23519999999999999</v>
      </c>
      <c r="D86">
        <v>0.2399</v>
      </c>
      <c r="E86">
        <v>4.4900000000000002E-2</v>
      </c>
      <c r="F86">
        <v>0</v>
      </c>
      <c r="G86">
        <v>0.53280000000000005</v>
      </c>
      <c r="I86" s="9">
        <v>411</v>
      </c>
      <c r="J86" t="s">
        <v>26</v>
      </c>
      <c r="K86">
        <v>0.23519999999999999</v>
      </c>
      <c r="L86">
        <v>0.24</v>
      </c>
      <c r="M86">
        <v>4.5100000000000001E-2</v>
      </c>
      <c r="N86">
        <v>0</v>
      </c>
      <c r="O86">
        <v>0.53129999999999999</v>
      </c>
      <c r="Q86" s="9">
        <v>412</v>
      </c>
      <c r="R86" t="s">
        <v>26</v>
      </c>
      <c r="S86">
        <v>0.23710000000000001</v>
      </c>
      <c r="T86">
        <v>0.24030000000000001</v>
      </c>
      <c r="U86">
        <v>3.7100000000000001E-2</v>
      </c>
      <c r="V86">
        <v>0</v>
      </c>
      <c r="W86">
        <v>0.4945</v>
      </c>
      <c r="Y86" s="9">
        <v>413</v>
      </c>
      <c r="Z86" t="s">
        <v>26</v>
      </c>
      <c r="AA86">
        <v>0.24560000000000001</v>
      </c>
      <c r="AB86">
        <v>0.24249999999999999</v>
      </c>
      <c r="AC86">
        <v>1.49E-2</v>
      </c>
      <c r="AD86">
        <v>0.23139999999999999</v>
      </c>
      <c r="AE86">
        <v>0.35320000000000001</v>
      </c>
    </row>
    <row r="87" spans="1:31" x14ac:dyDescent="0.35">
      <c r="A87" s="9">
        <v>410</v>
      </c>
      <c r="B87" t="s">
        <v>27</v>
      </c>
      <c r="C87">
        <v>0.24740000000000001</v>
      </c>
      <c r="D87">
        <v>0.24160000000000001</v>
      </c>
      <c r="E87">
        <v>4.3799999999999999E-2</v>
      </c>
      <c r="F87">
        <v>0</v>
      </c>
      <c r="G87">
        <v>0.99890000000000001</v>
      </c>
      <c r="I87" s="9">
        <v>411</v>
      </c>
      <c r="J87" t="s">
        <v>27</v>
      </c>
      <c r="K87">
        <v>0.2477</v>
      </c>
      <c r="L87">
        <v>0.2417</v>
      </c>
      <c r="M87">
        <v>4.3900000000000002E-2</v>
      </c>
      <c r="N87">
        <v>0</v>
      </c>
      <c r="O87">
        <v>0.99780000000000002</v>
      </c>
      <c r="Q87" s="9">
        <v>412</v>
      </c>
      <c r="R87" t="s">
        <v>27</v>
      </c>
      <c r="S87">
        <v>0.24679999999999999</v>
      </c>
      <c r="T87">
        <v>0.24179999999999999</v>
      </c>
      <c r="U87">
        <v>3.5999999999999997E-2</v>
      </c>
      <c r="V87">
        <v>0</v>
      </c>
      <c r="W87">
        <v>0.96279999999999999</v>
      </c>
      <c r="Y87" s="9">
        <v>413</v>
      </c>
      <c r="Z87" t="s">
        <v>27</v>
      </c>
      <c r="AA87">
        <v>0.24560000000000001</v>
      </c>
      <c r="AB87">
        <v>0.24249999999999999</v>
      </c>
      <c r="AC87">
        <v>1.49E-2</v>
      </c>
      <c r="AD87">
        <v>0.23139999999999999</v>
      </c>
      <c r="AE87">
        <v>0.35320000000000001</v>
      </c>
    </row>
    <row r="88" spans="1:31" x14ac:dyDescent="0.35">
      <c r="A88" s="9">
        <v>410</v>
      </c>
      <c r="B88" t="s">
        <v>28</v>
      </c>
      <c r="C88">
        <v>0.9123</v>
      </c>
      <c r="D88">
        <v>0.98699999999999999</v>
      </c>
      <c r="E88">
        <v>0.2092</v>
      </c>
      <c r="F88">
        <v>0</v>
      </c>
      <c r="G88">
        <v>1</v>
      </c>
      <c r="I88" s="9">
        <v>411</v>
      </c>
      <c r="J88" t="s">
        <v>28</v>
      </c>
      <c r="K88">
        <v>0.90980000000000005</v>
      </c>
      <c r="L88">
        <v>0.98699999999999999</v>
      </c>
      <c r="M88">
        <v>0.21149999999999999</v>
      </c>
      <c r="N88">
        <v>0</v>
      </c>
      <c r="O88">
        <v>1</v>
      </c>
      <c r="Q88" s="9">
        <v>412</v>
      </c>
      <c r="R88" t="s">
        <v>28</v>
      </c>
      <c r="S88">
        <v>0.92369999999999997</v>
      </c>
      <c r="T88">
        <v>0.98350000000000004</v>
      </c>
      <c r="U88">
        <v>0.17849999999999999</v>
      </c>
      <c r="V88">
        <v>0</v>
      </c>
      <c r="W88">
        <v>1</v>
      </c>
      <c r="Y88" s="9">
        <v>413</v>
      </c>
      <c r="Z88" t="s">
        <v>28</v>
      </c>
      <c r="AA88">
        <v>1</v>
      </c>
      <c r="AB88">
        <v>1</v>
      </c>
      <c r="AC88">
        <v>0</v>
      </c>
      <c r="AD88">
        <v>1</v>
      </c>
      <c r="AE88">
        <v>1</v>
      </c>
    </row>
    <row r="89" spans="1:31" x14ac:dyDescent="0.35">
      <c r="A89" s="9">
        <v>410</v>
      </c>
      <c r="B89" t="s">
        <v>29</v>
      </c>
      <c r="C89">
        <v>0.3785</v>
      </c>
      <c r="D89">
        <v>0.38700000000000001</v>
      </c>
      <c r="E89">
        <v>6.5600000000000006E-2</v>
      </c>
      <c r="F89">
        <v>0</v>
      </c>
      <c r="G89">
        <v>0.69520000000000004</v>
      </c>
      <c r="I89" s="9">
        <v>411</v>
      </c>
      <c r="J89" t="s">
        <v>29</v>
      </c>
      <c r="K89">
        <v>0.37840000000000001</v>
      </c>
      <c r="L89">
        <v>0.3871</v>
      </c>
      <c r="M89">
        <v>6.59E-2</v>
      </c>
      <c r="N89">
        <v>0</v>
      </c>
      <c r="O89">
        <v>0.69389999999999996</v>
      </c>
      <c r="Q89" s="9">
        <v>412</v>
      </c>
      <c r="R89" t="s">
        <v>29</v>
      </c>
      <c r="S89">
        <v>0.38169999999999998</v>
      </c>
      <c r="T89">
        <v>0.38750000000000001</v>
      </c>
      <c r="U89">
        <v>5.3699999999999998E-2</v>
      </c>
      <c r="V89">
        <v>0</v>
      </c>
      <c r="W89">
        <v>0.66180000000000005</v>
      </c>
      <c r="Y89" s="9">
        <v>413</v>
      </c>
      <c r="Z89" t="s">
        <v>29</v>
      </c>
      <c r="AA89">
        <v>0.39410000000000001</v>
      </c>
      <c r="AB89">
        <v>0.39029999999999998</v>
      </c>
      <c r="AC89">
        <v>1.84E-2</v>
      </c>
      <c r="AD89">
        <v>0.37590000000000001</v>
      </c>
      <c r="AE89">
        <v>0.52210000000000001</v>
      </c>
    </row>
    <row r="90" spans="1:31" x14ac:dyDescent="0.35">
      <c r="A90" s="9">
        <v>420</v>
      </c>
      <c r="B90" t="s">
        <v>26</v>
      </c>
      <c r="C90">
        <v>0.22739999999999999</v>
      </c>
      <c r="D90">
        <v>0.2243</v>
      </c>
      <c r="E90">
        <v>2.1499999999999998E-2</v>
      </c>
      <c r="F90">
        <v>0.17030000000000001</v>
      </c>
      <c r="G90">
        <v>0.39750000000000002</v>
      </c>
      <c r="I90" s="9">
        <v>421</v>
      </c>
      <c r="J90" t="s">
        <v>26</v>
      </c>
      <c r="K90">
        <v>0.2276</v>
      </c>
      <c r="L90">
        <v>0.22450000000000001</v>
      </c>
      <c r="M90">
        <v>2.23E-2</v>
      </c>
      <c r="N90">
        <v>0.16889999999999999</v>
      </c>
      <c r="O90">
        <v>0.39900000000000002</v>
      </c>
      <c r="Q90" s="9">
        <v>422</v>
      </c>
      <c r="R90" t="s">
        <v>26</v>
      </c>
      <c r="S90">
        <v>0.22220000000000001</v>
      </c>
      <c r="T90">
        <v>0.22170000000000001</v>
      </c>
      <c r="U90">
        <v>2.3199999999999998E-2</v>
      </c>
      <c r="V90">
        <v>0.1376</v>
      </c>
      <c r="W90">
        <v>0.42199999999999999</v>
      </c>
      <c r="Y90" s="9">
        <v>423</v>
      </c>
      <c r="Z90" t="s">
        <v>26</v>
      </c>
      <c r="AA90">
        <v>0.24560000000000001</v>
      </c>
      <c r="AB90">
        <v>0.24249999999999999</v>
      </c>
      <c r="AC90">
        <v>1.49E-2</v>
      </c>
      <c r="AD90">
        <v>0.23139999999999999</v>
      </c>
      <c r="AE90">
        <v>0.35320000000000001</v>
      </c>
    </row>
    <row r="91" spans="1:31" x14ac:dyDescent="0.35">
      <c r="A91" s="9">
        <v>420</v>
      </c>
      <c r="B91" t="s">
        <v>27</v>
      </c>
      <c r="C91">
        <v>0.24679999999999999</v>
      </c>
      <c r="D91">
        <v>0.24260000000000001</v>
      </c>
      <c r="E91">
        <v>2.0299999999999999E-2</v>
      </c>
      <c r="F91">
        <v>0.19409999999999999</v>
      </c>
      <c r="G91">
        <v>0.40139999999999998</v>
      </c>
      <c r="I91" s="9">
        <v>421</v>
      </c>
      <c r="J91" t="s">
        <v>27</v>
      </c>
      <c r="K91">
        <v>0.2467</v>
      </c>
      <c r="L91">
        <v>0.24260000000000001</v>
      </c>
      <c r="M91">
        <v>2.0899999999999998E-2</v>
      </c>
      <c r="N91">
        <v>0.19889999999999999</v>
      </c>
      <c r="O91">
        <v>0.40939999999999999</v>
      </c>
      <c r="Q91" s="9">
        <v>422</v>
      </c>
      <c r="R91" t="s">
        <v>27</v>
      </c>
      <c r="S91">
        <v>0.2457</v>
      </c>
      <c r="T91">
        <v>0.2422</v>
      </c>
      <c r="U91">
        <v>2.2100000000000002E-2</v>
      </c>
      <c r="V91">
        <v>0.16650000000000001</v>
      </c>
      <c r="W91">
        <v>0.48039999999999999</v>
      </c>
      <c r="Y91" s="9">
        <v>423</v>
      </c>
      <c r="Z91" t="s">
        <v>27</v>
      </c>
      <c r="AA91">
        <v>0.24560000000000001</v>
      </c>
      <c r="AB91">
        <v>0.24249999999999999</v>
      </c>
      <c r="AC91">
        <v>1.49E-2</v>
      </c>
      <c r="AD91">
        <v>0.23139999999999999</v>
      </c>
      <c r="AE91">
        <v>0.35320000000000001</v>
      </c>
    </row>
    <row r="92" spans="1:31" x14ac:dyDescent="0.35">
      <c r="A92" s="9">
        <v>420</v>
      </c>
      <c r="B92" t="s">
        <v>28</v>
      </c>
      <c r="C92">
        <v>0.75090000000000001</v>
      </c>
      <c r="D92">
        <v>0.74480000000000002</v>
      </c>
      <c r="E92">
        <v>0.1036</v>
      </c>
      <c r="F92">
        <v>0.53580000000000005</v>
      </c>
      <c r="G92">
        <v>0.99070000000000003</v>
      </c>
      <c r="I92" s="9">
        <v>421</v>
      </c>
      <c r="J92" t="s">
        <v>28</v>
      </c>
      <c r="K92">
        <v>0.75460000000000005</v>
      </c>
      <c r="L92">
        <v>0.74950000000000006</v>
      </c>
      <c r="M92">
        <v>0.1061</v>
      </c>
      <c r="N92">
        <v>0.52780000000000005</v>
      </c>
      <c r="O92">
        <v>0.98780000000000001</v>
      </c>
      <c r="Q92" s="9">
        <v>422</v>
      </c>
      <c r="R92" t="s">
        <v>28</v>
      </c>
      <c r="S92">
        <v>0.71709999999999996</v>
      </c>
      <c r="T92">
        <v>0.72940000000000005</v>
      </c>
      <c r="U92">
        <v>0.1353</v>
      </c>
      <c r="V92">
        <v>0.3029</v>
      </c>
      <c r="W92">
        <v>0.99160000000000004</v>
      </c>
      <c r="Y92" s="9">
        <v>423</v>
      </c>
      <c r="Z92" t="s">
        <v>28</v>
      </c>
      <c r="AA92">
        <v>1</v>
      </c>
      <c r="AB92">
        <v>1</v>
      </c>
      <c r="AC92">
        <v>0</v>
      </c>
      <c r="AD92">
        <v>1</v>
      </c>
      <c r="AE92">
        <v>1</v>
      </c>
    </row>
    <row r="93" spans="1:31" x14ac:dyDescent="0.35">
      <c r="A93" s="9">
        <v>420</v>
      </c>
      <c r="B93" t="s">
        <v>29</v>
      </c>
      <c r="C93">
        <v>0.37</v>
      </c>
      <c r="D93">
        <v>0.3664</v>
      </c>
      <c r="E93">
        <v>2.7799999999999998E-2</v>
      </c>
      <c r="F93">
        <v>0.29099999999999998</v>
      </c>
      <c r="G93">
        <v>0.56879999999999997</v>
      </c>
      <c r="I93" s="9">
        <v>421</v>
      </c>
      <c r="J93" t="s">
        <v>29</v>
      </c>
      <c r="K93">
        <v>0.37030000000000002</v>
      </c>
      <c r="L93">
        <v>0.36670000000000003</v>
      </c>
      <c r="M93">
        <v>2.87E-2</v>
      </c>
      <c r="N93">
        <v>0.28899999999999998</v>
      </c>
      <c r="O93">
        <v>0.57040000000000002</v>
      </c>
      <c r="Q93" s="9">
        <v>422</v>
      </c>
      <c r="R93" t="s">
        <v>29</v>
      </c>
      <c r="S93">
        <v>0.36299999999999999</v>
      </c>
      <c r="T93">
        <v>0.3629</v>
      </c>
      <c r="U93">
        <v>3.04E-2</v>
      </c>
      <c r="V93">
        <v>0.24199999999999999</v>
      </c>
      <c r="W93">
        <v>0.59360000000000002</v>
      </c>
      <c r="Y93" s="9">
        <v>423</v>
      </c>
      <c r="Z93" t="s">
        <v>29</v>
      </c>
      <c r="AA93">
        <v>0.39410000000000001</v>
      </c>
      <c r="AB93">
        <v>0.39029999999999998</v>
      </c>
      <c r="AC93">
        <v>1.84E-2</v>
      </c>
      <c r="AD93">
        <v>0.37590000000000001</v>
      </c>
      <c r="AE93">
        <v>0.52210000000000001</v>
      </c>
    </row>
    <row r="94" spans="1:31" x14ac:dyDescent="0.35">
      <c r="A94" s="9">
        <v>430</v>
      </c>
      <c r="B94" t="s">
        <v>26</v>
      </c>
      <c r="C94">
        <v>0.2127</v>
      </c>
      <c r="D94">
        <v>0.2157</v>
      </c>
      <c r="E94">
        <v>7.4099999999999999E-2</v>
      </c>
      <c r="F94">
        <v>0</v>
      </c>
      <c r="G94">
        <v>0.4708</v>
      </c>
      <c r="I94" s="9">
        <v>431</v>
      </c>
      <c r="J94" t="s">
        <v>26</v>
      </c>
      <c r="K94">
        <v>0.2127</v>
      </c>
      <c r="L94">
        <v>0.216</v>
      </c>
      <c r="M94">
        <v>7.4099999999999999E-2</v>
      </c>
      <c r="N94">
        <v>0</v>
      </c>
      <c r="O94">
        <v>0.47139999999999999</v>
      </c>
      <c r="Q94" s="9">
        <v>432</v>
      </c>
      <c r="R94" t="s">
        <v>26</v>
      </c>
      <c r="S94">
        <v>0.24</v>
      </c>
      <c r="T94">
        <v>0.24179999999999999</v>
      </c>
      <c r="U94">
        <v>3.1300000000000001E-2</v>
      </c>
      <c r="V94">
        <v>1.6999999999999999E-3</v>
      </c>
      <c r="W94">
        <v>0.35499999999999998</v>
      </c>
      <c r="Y94" s="9">
        <v>433</v>
      </c>
      <c r="Z94" t="s">
        <v>26</v>
      </c>
      <c r="AA94">
        <v>0.24560000000000001</v>
      </c>
      <c r="AB94">
        <v>0.24249999999999999</v>
      </c>
      <c r="AC94">
        <v>1.49E-2</v>
      </c>
      <c r="AD94">
        <v>0.23139999999999999</v>
      </c>
      <c r="AE94">
        <v>0.35320000000000001</v>
      </c>
    </row>
    <row r="95" spans="1:31" x14ac:dyDescent="0.35">
      <c r="A95" s="9">
        <v>430</v>
      </c>
      <c r="B95" t="s">
        <v>27</v>
      </c>
      <c r="C95">
        <v>0.25240000000000001</v>
      </c>
      <c r="D95">
        <v>0.24210000000000001</v>
      </c>
      <c r="E95">
        <v>6.08E-2</v>
      </c>
      <c r="F95">
        <v>0</v>
      </c>
      <c r="G95">
        <v>0.78690000000000004</v>
      </c>
      <c r="I95" s="9">
        <v>431</v>
      </c>
      <c r="J95" t="s">
        <v>27</v>
      </c>
      <c r="K95">
        <v>0.25240000000000001</v>
      </c>
      <c r="L95">
        <v>0.24210000000000001</v>
      </c>
      <c r="M95">
        <v>6.08E-2</v>
      </c>
      <c r="N95">
        <v>0</v>
      </c>
      <c r="O95">
        <v>0.78620000000000001</v>
      </c>
      <c r="Q95" s="9">
        <v>432</v>
      </c>
      <c r="R95" t="s">
        <v>27</v>
      </c>
      <c r="S95">
        <v>0.24660000000000001</v>
      </c>
      <c r="T95">
        <v>0.24260000000000001</v>
      </c>
      <c r="U95">
        <v>2.3199999999999998E-2</v>
      </c>
      <c r="V95">
        <v>4.7600000000000003E-2</v>
      </c>
      <c r="W95">
        <v>0.55389999999999995</v>
      </c>
      <c r="Y95" s="9">
        <v>433</v>
      </c>
      <c r="Z95" t="s">
        <v>27</v>
      </c>
      <c r="AA95">
        <v>0.24560000000000001</v>
      </c>
      <c r="AB95">
        <v>0.24249999999999999</v>
      </c>
      <c r="AC95">
        <v>1.49E-2</v>
      </c>
      <c r="AD95">
        <v>0.23139999999999999</v>
      </c>
      <c r="AE95">
        <v>0.35320000000000001</v>
      </c>
    </row>
    <row r="96" spans="1:31" x14ac:dyDescent="0.35">
      <c r="A96" s="9">
        <v>430</v>
      </c>
      <c r="B96" t="s">
        <v>28</v>
      </c>
      <c r="C96">
        <v>0.63300000000000001</v>
      </c>
      <c r="D96">
        <v>0.70189999999999997</v>
      </c>
      <c r="E96">
        <v>0.24940000000000001</v>
      </c>
      <c r="F96">
        <v>0</v>
      </c>
      <c r="G96">
        <v>0.99909999999999999</v>
      </c>
      <c r="I96" s="9">
        <v>431</v>
      </c>
      <c r="J96" t="s">
        <v>28</v>
      </c>
      <c r="K96">
        <v>0.63219999999999998</v>
      </c>
      <c r="L96">
        <v>0.70150000000000001</v>
      </c>
      <c r="M96">
        <v>0.2492</v>
      </c>
      <c r="N96">
        <v>0</v>
      </c>
      <c r="O96">
        <v>0.99909999999999999</v>
      </c>
      <c r="Q96" s="9">
        <v>432</v>
      </c>
      <c r="R96" t="s">
        <v>28</v>
      </c>
      <c r="S96">
        <v>0.95</v>
      </c>
      <c r="T96">
        <v>0.99929999999999997</v>
      </c>
      <c r="U96">
        <v>0.1615</v>
      </c>
      <c r="V96">
        <v>1.6999999999999999E-3</v>
      </c>
      <c r="W96">
        <v>1</v>
      </c>
      <c r="Y96" s="9">
        <v>433</v>
      </c>
      <c r="Z96" t="s">
        <v>28</v>
      </c>
      <c r="AA96">
        <v>1</v>
      </c>
      <c r="AB96">
        <v>1</v>
      </c>
      <c r="AC96">
        <v>0</v>
      </c>
      <c r="AD96">
        <v>1</v>
      </c>
      <c r="AE96">
        <v>1</v>
      </c>
    </row>
    <row r="97" spans="1:31" x14ac:dyDescent="0.35">
      <c r="A97" s="9">
        <v>430</v>
      </c>
      <c r="B97" t="s">
        <v>29</v>
      </c>
      <c r="C97">
        <v>0.34449999999999997</v>
      </c>
      <c r="D97">
        <v>0.3548</v>
      </c>
      <c r="E97">
        <v>0.10440000000000001</v>
      </c>
      <c r="F97">
        <v>0</v>
      </c>
      <c r="G97">
        <v>0.64019999999999999</v>
      </c>
      <c r="I97" s="9">
        <v>431</v>
      </c>
      <c r="J97" t="s">
        <v>29</v>
      </c>
      <c r="K97">
        <v>0.34439999999999998</v>
      </c>
      <c r="L97">
        <v>0.35520000000000002</v>
      </c>
      <c r="M97">
        <v>0.1045</v>
      </c>
      <c r="N97">
        <v>0</v>
      </c>
      <c r="O97">
        <v>0.64070000000000005</v>
      </c>
      <c r="Q97" s="9">
        <v>432</v>
      </c>
      <c r="R97" t="s">
        <v>29</v>
      </c>
      <c r="S97">
        <v>0.38600000000000001</v>
      </c>
      <c r="T97">
        <v>0.38940000000000002</v>
      </c>
      <c r="U97">
        <v>4.4699999999999997E-2</v>
      </c>
      <c r="V97">
        <v>3.3999999999999998E-3</v>
      </c>
      <c r="W97">
        <v>0.52400000000000002</v>
      </c>
      <c r="Y97" s="9">
        <v>433</v>
      </c>
      <c r="Z97" t="s">
        <v>29</v>
      </c>
      <c r="AA97">
        <v>0.39410000000000001</v>
      </c>
      <c r="AB97">
        <v>0.39029999999999998</v>
      </c>
      <c r="AC97">
        <v>1.84E-2</v>
      </c>
      <c r="AD97">
        <v>0.37590000000000001</v>
      </c>
      <c r="AE97">
        <v>0.52210000000000001</v>
      </c>
    </row>
    <row r="98" spans="1:31" x14ac:dyDescent="0.35">
      <c r="A98" s="9">
        <v>440</v>
      </c>
      <c r="B98" t="s">
        <v>26</v>
      </c>
      <c r="C98">
        <v>0.1918</v>
      </c>
      <c r="D98">
        <v>0.21790000000000001</v>
      </c>
      <c r="E98">
        <v>8.09E-2</v>
      </c>
      <c r="F98">
        <v>0</v>
      </c>
      <c r="G98">
        <v>0.54459999999999997</v>
      </c>
      <c r="I98" s="9">
        <v>441</v>
      </c>
      <c r="J98" t="s">
        <v>26</v>
      </c>
      <c r="K98">
        <v>0.192</v>
      </c>
      <c r="L98">
        <v>0.21790000000000001</v>
      </c>
      <c r="M98">
        <v>8.1000000000000003E-2</v>
      </c>
      <c r="N98">
        <v>0</v>
      </c>
      <c r="O98">
        <v>0.54459999999999997</v>
      </c>
      <c r="Q98" s="9">
        <v>442</v>
      </c>
      <c r="R98" t="s">
        <v>26</v>
      </c>
      <c r="S98">
        <v>0.21510000000000001</v>
      </c>
      <c r="T98">
        <v>0.23649999999999999</v>
      </c>
      <c r="U98">
        <v>6.6500000000000004E-2</v>
      </c>
      <c r="V98">
        <v>0</v>
      </c>
      <c r="W98">
        <v>0.51270000000000004</v>
      </c>
      <c r="Y98" s="9">
        <v>443</v>
      </c>
      <c r="Z98" t="s">
        <v>26</v>
      </c>
      <c r="AA98">
        <v>0.24560000000000001</v>
      </c>
      <c r="AB98">
        <v>0.24249999999999999</v>
      </c>
      <c r="AC98">
        <v>1.49E-2</v>
      </c>
      <c r="AD98">
        <v>0.23139999999999999</v>
      </c>
      <c r="AE98">
        <v>0.35320000000000001</v>
      </c>
    </row>
    <row r="99" spans="1:31" x14ac:dyDescent="0.35">
      <c r="A99" s="9">
        <v>440</v>
      </c>
      <c r="B99" t="s">
        <v>27</v>
      </c>
      <c r="C99">
        <v>0.23949999999999999</v>
      </c>
      <c r="D99">
        <v>0.23949999999999999</v>
      </c>
      <c r="E99">
        <v>7.5999999999999998E-2</v>
      </c>
      <c r="F99">
        <v>0</v>
      </c>
      <c r="G99">
        <v>0.999</v>
      </c>
      <c r="I99" s="9">
        <v>441</v>
      </c>
      <c r="J99" t="s">
        <v>27</v>
      </c>
      <c r="K99">
        <v>0.24</v>
      </c>
      <c r="L99">
        <v>0.23960000000000001</v>
      </c>
      <c r="M99">
        <v>7.6100000000000001E-2</v>
      </c>
      <c r="N99">
        <v>0</v>
      </c>
      <c r="O99">
        <v>0.999</v>
      </c>
      <c r="Q99" s="9">
        <v>442</v>
      </c>
      <c r="R99" t="s">
        <v>27</v>
      </c>
      <c r="S99">
        <v>0.24399999999999999</v>
      </c>
      <c r="T99">
        <v>0.24160000000000001</v>
      </c>
      <c r="U99">
        <v>5.74E-2</v>
      </c>
      <c r="V99">
        <v>0</v>
      </c>
      <c r="W99">
        <v>0.98119999999999996</v>
      </c>
      <c r="Y99" s="9">
        <v>443</v>
      </c>
      <c r="Z99" t="s">
        <v>27</v>
      </c>
      <c r="AA99">
        <v>0.24560000000000001</v>
      </c>
      <c r="AB99">
        <v>0.24249999999999999</v>
      </c>
      <c r="AC99">
        <v>1.49E-2</v>
      </c>
      <c r="AD99">
        <v>0.23139999999999999</v>
      </c>
      <c r="AE99">
        <v>0.35320000000000001</v>
      </c>
    </row>
    <row r="100" spans="1:31" x14ac:dyDescent="0.35">
      <c r="A100" s="9">
        <v>440</v>
      </c>
      <c r="B100" t="s">
        <v>28</v>
      </c>
      <c r="C100">
        <v>0.62050000000000005</v>
      </c>
      <c r="D100">
        <v>0.74250000000000005</v>
      </c>
      <c r="E100">
        <v>0.32029999999999997</v>
      </c>
      <c r="F100">
        <v>0</v>
      </c>
      <c r="G100">
        <v>1</v>
      </c>
      <c r="I100" s="9">
        <v>441</v>
      </c>
      <c r="J100" t="s">
        <v>28</v>
      </c>
      <c r="K100">
        <v>0.61919999999999997</v>
      </c>
      <c r="L100">
        <v>0.74070000000000003</v>
      </c>
      <c r="M100">
        <v>0.31940000000000002</v>
      </c>
      <c r="N100">
        <v>0</v>
      </c>
      <c r="O100">
        <v>1</v>
      </c>
      <c r="Q100" s="9">
        <v>442</v>
      </c>
      <c r="R100" t="s">
        <v>28</v>
      </c>
      <c r="S100">
        <v>0.78839999999999999</v>
      </c>
      <c r="T100">
        <v>0.94079999999999997</v>
      </c>
      <c r="U100">
        <v>0.30470000000000003</v>
      </c>
      <c r="V100">
        <v>0</v>
      </c>
      <c r="W100">
        <v>1</v>
      </c>
      <c r="Y100" s="9">
        <v>443</v>
      </c>
      <c r="Z100" t="s">
        <v>28</v>
      </c>
      <c r="AA100">
        <v>1</v>
      </c>
      <c r="AB100">
        <v>1</v>
      </c>
      <c r="AC100">
        <v>0</v>
      </c>
      <c r="AD100">
        <v>1</v>
      </c>
      <c r="AE100">
        <v>1</v>
      </c>
    </row>
    <row r="101" spans="1:31" x14ac:dyDescent="0.35">
      <c r="A101" s="9">
        <v>440</v>
      </c>
      <c r="B101" t="s">
        <v>29</v>
      </c>
      <c r="C101">
        <v>0.31359999999999999</v>
      </c>
      <c r="D101">
        <v>0.35780000000000001</v>
      </c>
      <c r="E101">
        <v>0.12239999999999999</v>
      </c>
      <c r="F101">
        <v>0</v>
      </c>
      <c r="G101">
        <v>0.70520000000000005</v>
      </c>
      <c r="I101" s="9">
        <v>441</v>
      </c>
      <c r="J101" t="s">
        <v>29</v>
      </c>
      <c r="K101">
        <v>0.31390000000000001</v>
      </c>
      <c r="L101">
        <v>0.3579</v>
      </c>
      <c r="M101">
        <v>0.12230000000000001</v>
      </c>
      <c r="N101">
        <v>0</v>
      </c>
      <c r="O101">
        <v>0.70520000000000005</v>
      </c>
      <c r="Q101" s="9">
        <v>442</v>
      </c>
      <c r="R101" t="s">
        <v>29</v>
      </c>
      <c r="S101">
        <v>0.34849999999999998</v>
      </c>
      <c r="T101">
        <v>0.38250000000000001</v>
      </c>
      <c r="U101">
        <v>0.1009</v>
      </c>
      <c r="V101">
        <v>0</v>
      </c>
      <c r="W101">
        <v>0.67779999999999996</v>
      </c>
      <c r="Y101" s="9">
        <v>443</v>
      </c>
      <c r="Z101" t="s">
        <v>29</v>
      </c>
      <c r="AA101">
        <v>0.39410000000000001</v>
      </c>
      <c r="AB101">
        <v>0.39029999999999998</v>
      </c>
      <c r="AC101">
        <v>1.84E-2</v>
      </c>
      <c r="AD101">
        <v>0.37590000000000001</v>
      </c>
      <c r="AE101">
        <v>0.52210000000000001</v>
      </c>
    </row>
    <row r="102" spans="1:31" x14ac:dyDescent="0.35">
      <c r="A102" s="9">
        <v>500</v>
      </c>
      <c r="B102" t="s">
        <v>26</v>
      </c>
      <c r="C102">
        <v>0.21440000000000001</v>
      </c>
      <c r="D102">
        <v>0.2341</v>
      </c>
      <c r="E102">
        <v>6.83E-2</v>
      </c>
      <c r="F102">
        <v>0</v>
      </c>
      <c r="G102">
        <v>0.56540000000000001</v>
      </c>
      <c r="I102" s="9">
        <v>501</v>
      </c>
      <c r="J102" t="s">
        <v>26</v>
      </c>
      <c r="K102">
        <v>0.21429999999999999</v>
      </c>
      <c r="L102">
        <v>0.23369999999999999</v>
      </c>
      <c r="M102">
        <v>6.8500000000000005E-2</v>
      </c>
      <c r="N102">
        <v>0</v>
      </c>
      <c r="O102">
        <v>0.5665</v>
      </c>
      <c r="Q102" s="9">
        <v>502</v>
      </c>
      <c r="R102" t="s">
        <v>26</v>
      </c>
      <c r="S102">
        <v>0.22670000000000001</v>
      </c>
      <c r="T102">
        <v>0.2394</v>
      </c>
      <c r="U102">
        <v>4.87E-2</v>
      </c>
      <c r="V102">
        <v>0</v>
      </c>
      <c r="W102">
        <v>0.56810000000000005</v>
      </c>
      <c r="Y102" s="9">
        <v>503</v>
      </c>
      <c r="Z102" t="s">
        <v>26</v>
      </c>
      <c r="AA102">
        <v>0.24560000000000001</v>
      </c>
      <c r="AB102">
        <v>0.24249999999999999</v>
      </c>
      <c r="AC102">
        <v>1.49E-2</v>
      </c>
      <c r="AD102">
        <v>0.23139999999999999</v>
      </c>
      <c r="AE102">
        <v>0.35320000000000001</v>
      </c>
    </row>
    <row r="103" spans="1:31" x14ac:dyDescent="0.35">
      <c r="A103" s="9">
        <v>500</v>
      </c>
      <c r="B103" t="s">
        <v>27</v>
      </c>
      <c r="C103">
        <v>0.25530000000000003</v>
      </c>
      <c r="D103">
        <v>0.24399999999999999</v>
      </c>
      <c r="E103">
        <v>5.5399999999999998E-2</v>
      </c>
      <c r="F103">
        <v>0</v>
      </c>
      <c r="G103">
        <v>0.98070000000000002</v>
      </c>
      <c r="I103" s="9">
        <v>501</v>
      </c>
      <c r="J103" t="s">
        <v>27</v>
      </c>
      <c r="K103">
        <v>0.25540000000000002</v>
      </c>
      <c r="L103">
        <v>0.24399999999999999</v>
      </c>
      <c r="M103">
        <v>5.5899999999999998E-2</v>
      </c>
      <c r="N103">
        <v>0</v>
      </c>
      <c r="O103">
        <v>0.98060000000000003</v>
      </c>
      <c r="Q103" s="9">
        <v>502</v>
      </c>
      <c r="R103" t="s">
        <v>27</v>
      </c>
      <c r="S103">
        <v>0.2475</v>
      </c>
      <c r="T103">
        <v>0.2419</v>
      </c>
      <c r="U103">
        <v>3.8699999999999998E-2</v>
      </c>
      <c r="V103">
        <v>0</v>
      </c>
      <c r="W103">
        <v>0.86450000000000005</v>
      </c>
      <c r="Y103" s="9">
        <v>503</v>
      </c>
      <c r="Z103" t="s">
        <v>27</v>
      </c>
      <c r="AA103">
        <v>0.24560000000000001</v>
      </c>
      <c r="AB103">
        <v>0.24249999999999999</v>
      </c>
      <c r="AC103">
        <v>1.49E-2</v>
      </c>
      <c r="AD103">
        <v>0.23139999999999999</v>
      </c>
      <c r="AE103">
        <v>0.35320000000000001</v>
      </c>
    </row>
    <row r="104" spans="1:31" x14ac:dyDescent="0.35">
      <c r="A104" s="9">
        <v>500</v>
      </c>
      <c r="B104" t="s">
        <v>28</v>
      </c>
      <c r="C104">
        <v>0.71120000000000005</v>
      </c>
      <c r="D104">
        <v>0.87129999999999996</v>
      </c>
      <c r="E104">
        <v>0.31109999999999999</v>
      </c>
      <c r="F104">
        <v>0</v>
      </c>
      <c r="G104">
        <v>0.999</v>
      </c>
      <c r="I104" s="9">
        <v>501</v>
      </c>
      <c r="J104" t="s">
        <v>28</v>
      </c>
      <c r="K104">
        <v>0.70699999999999996</v>
      </c>
      <c r="L104">
        <v>0.86560000000000004</v>
      </c>
      <c r="M104">
        <v>0.30990000000000001</v>
      </c>
      <c r="N104">
        <v>0</v>
      </c>
      <c r="O104">
        <v>0.99909999999999999</v>
      </c>
      <c r="Q104" s="9">
        <v>502</v>
      </c>
      <c r="R104" t="s">
        <v>28</v>
      </c>
      <c r="S104">
        <v>0.84099999999999997</v>
      </c>
      <c r="T104">
        <v>0.98309999999999997</v>
      </c>
      <c r="U104">
        <v>0.2666</v>
      </c>
      <c r="V104">
        <v>0</v>
      </c>
      <c r="W104">
        <v>1</v>
      </c>
      <c r="Y104" s="9">
        <v>503</v>
      </c>
      <c r="Z104" t="s">
        <v>28</v>
      </c>
      <c r="AA104">
        <v>1</v>
      </c>
      <c r="AB104">
        <v>1</v>
      </c>
      <c r="AC104">
        <v>0</v>
      </c>
      <c r="AD104">
        <v>1</v>
      </c>
      <c r="AE104">
        <v>1</v>
      </c>
    </row>
    <row r="105" spans="1:31" x14ac:dyDescent="0.35">
      <c r="A105" s="9">
        <v>500</v>
      </c>
      <c r="B105" t="s">
        <v>29</v>
      </c>
      <c r="C105">
        <v>0.34760000000000002</v>
      </c>
      <c r="D105">
        <v>0.37940000000000002</v>
      </c>
      <c r="E105">
        <v>9.8400000000000001E-2</v>
      </c>
      <c r="F105">
        <v>0</v>
      </c>
      <c r="G105">
        <v>0.72240000000000004</v>
      </c>
      <c r="I105" s="9">
        <v>501</v>
      </c>
      <c r="J105" t="s">
        <v>29</v>
      </c>
      <c r="K105">
        <v>0.34749999999999998</v>
      </c>
      <c r="L105">
        <v>0.37890000000000001</v>
      </c>
      <c r="M105">
        <v>9.8599999999999993E-2</v>
      </c>
      <c r="N105">
        <v>0</v>
      </c>
      <c r="O105">
        <v>0.72319999999999995</v>
      </c>
      <c r="Q105" s="9">
        <v>502</v>
      </c>
      <c r="R105" t="s">
        <v>29</v>
      </c>
      <c r="S105">
        <v>0.36680000000000001</v>
      </c>
      <c r="T105">
        <v>0.38629999999999998</v>
      </c>
      <c r="U105">
        <v>6.9900000000000004E-2</v>
      </c>
      <c r="V105">
        <v>0</v>
      </c>
      <c r="W105">
        <v>0.72460000000000002</v>
      </c>
      <c r="Y105" s="9">
        <v>503</v>
      </c>
      <c r="Z105" t="s">
        <v>29</v>
      </c>
      <c r="AA105">
        <v>0.39410000000000001</v>
      </c>
      <c r="AB105">
        <v>0.39029999999999998</v>
      </c>
      <c r="AC105">
        <v>1.84E-2</v>
      </c>
      <c r="AD105">
        <v>0.37590000000000001</v>
      </c>
      <c r="AE105">
        <v>0.52210000000000001</v>
      </c>
    </row>
    <row r="106" spans="1:31" x14ac:dyDescent="0.35">
      <c r="A106" s="9">
        <v>510</v>
      </c>
      <c r="B106" t="s">
        <v>26</v>
      </c>
      <c r="C106">
        <v>0.24410000000000001</v>
      </c>
      <c r="D106">
        <v>0.24210000000000001</v>
      </c>
      <c r="E106">
        <v>2.58E-2</v>
      </c>
      <c r="F106">
        <v>9.1000000000000004E-3</v>
      </c>
      <c r="G106">
        <v>0.55330000000000001</v>
      </c>
      <c r="I106" s="9">
        <v>511</v>
      </c>
      <c r="J106" t="s">
        <v>26</v>
      </c>
      <c r="K106">
        <v>0.24390000000000001</v>
      </c>
      <c r="L106">
        <v>0.24210000000000001</v>
      </c>
      <c r="M106">
        <v>2.69E-2</v>
      </c>
      <c r="N106">
        <v>3.0000000000000001E-3</v>
      </c>
      <c r="O106">
        <v>0.55720000000000003</v>
      </c>
      <c r="Q106" s="9">
        <v>512</v>
      </c>
      <c r="R106" t="s">
        <v>26</v>
      </c>
      <c r="S106">
        <v>0.24440000000000001</v>
      </c>
      <c r="T106">
        <v>0.2419</v>
      </c>
      <c r="U106">
        <v>2.2800000000000001E-2</v>
      </c>
      <c r="V106">
        <v>2.1600000000000001E-2</v>
      </c>
      <c r="W106">
        <v>0.52949999999999997</v>
      </c>
      <c r="Y106" s="9">
        <v>513</v>
      </c>
      <c r="Z106" t="s">
        <v>26</v>
      </c>
      <c r="AA106">
        <v>0.24560000000000001</v>
      </c>
      <c r="AB106">
        <v>0.24249999999999999</v>
      </c>
      <c r="AC106">
        <v>1.49E-2</v>
      </c>
      <c r="AD106">
        <v>0.23139999999999999</v>
      </c>
      <c r="AE106">
        <v>0.35320000000000001</v>
      </c>
    </row>
    <row r="107" spans="1:31" x14ac:dyDescent="0.35">
      <c r="A107" s="9">
        <v>510</v>
      </c>
      <c r="B107" t="s">
        <v>27</v>
      </c>
      <c r="C107">
        <v>0.24859999999999999</v>
      </c>
      <c r="D107">
        <v>0.24260000000000001</v>
      </c>
      <c r="E107">
        <v>3.7499999999999999E-2</v>
      </c>
      <c r="F107">
        <v>4.0099999999999997E-2</v>
      </c>
      <c r="G107">
        <v>0.95330000000000004</v>
      </c>
      <c r="I107" s="9">
        <v>511</v>
      </c>
      <c r="J107" t="s">
        <v>27</v>
      </c>
      <c r="K107">
        <v>0.24879999999999999</v>
      </c>
      <c r="L107">
        <v>0.24260000000000001</v>
      </c>
      <c r="M107">
        <v>3.8600000000000002E-2</v>
      </c>
      <c r="N107">
        <v>3.7199999999999997E-2</v>
      </c>
      <c r="O107">
        <v>0.97419999999999995</v>
      </c>
      <c r="Q107" s="9">
        <v>512</v>
      </c>
      <c r="R107" t="s">
        <v>27</v>
      </c>
      <c r="S107">
        <v>0.2472</v>
      </c>
      <c r="T107">
        <v>0.2424</v>
      </c>
      <c r="U107">
        <v>2.81E-2</v>
      </c>
      <c r="V107">
        <v>7.1199999999999999E-2</v>
      </c>
      <c r="W107">
        <v>0.73050000000000004</v>
      </c>
      <c r="Y107" s="9">
        <v>513</v>
      </c>
      <c r="Z107" t="s">
        <v>27</v>
      </c>
      <c r="AA107">
        <v>0.24560000000000001</v>
      </c>
      <c r="AB107">
        <v>0.24249999999999999</v>
      </c>
      <c r="AC107">
        <v>1.49E-2</v>
      </c>
      <c r="AD107">
        <v>0.23139999999999999</v>
      </c>
      <c r="AE107">
        <v>0.35320000000000001</v>
      </c>
    </row>
    <row r="108" spans="1:31" x14ac:dyDescent="0.35">
      <c r="A108" s="9">
        <v>510</v>
      </c>
      <c r="B108" t="s">
        <v>28</v>
      </c>
      <c r="C108">
        <v>0.97550000000000003</v>
      </c>
      <c r="D108">
        <v>0.99739999999999995</v>
      </c>
      <c r="E108">
        <v>0.1147</v>
      </c>
      <c r="F108">
        <v>1.1599999999999999E-2</v>
      </c>
      <c r="G108">
        <v>1</v>
      </c>
      <c r="I108" s="9">
        <v>511</v>
      </c>
      <c r="J108" t="s">
        <v>28</v>
      </c>
      <c r="K108">
        <v>0.97360000000000002</v>
      </c>
      <c r="L108">
        <v>0.998</v>
      </c>
      <c r="M108">
        <v>0.122</v>
      </c>
      <c r="N108">
        <v>3.3E-3</v>
      </c>
      <c r="O108">
        <v>1</v>
      </c>
      <c r="Q108" s="9">
        <v>512</v>
      </c>
      <c r="R108" t="s">
        <v>28</v>
      </c>
      <c r="S108">
        <v>0.97909999999999997</v>
      </c>
      <c r="T108">
        <v>0.996</v>
      </c>
      <c r="U108">
        <v>8.9599999999999999E-2</v>
      </c>
      <c r="V108">
        <v>0.03</v>
      </c>
      <c r="W108">
        <v>1</v>
      </c>
      <c r="Y108" s="9">
        <v>513</v>
      </c>
      <c r="Z108" t="s">
        <v>28</v>
      </c>
      <c r="AA108">
        <v>1</v>
      </c>
      <c r="AB108">
        <v>1</v>
      </c>
      <c r="AC108">
        <v>0</v>
      </c>
      <c r="AD108">
        <v>1</v>
      </c>
      <c r="AE108">
        <v>1</v>
      </c>
    </row>
    <row r="109" spans="1:31" x14ac:dyDescent="0.35">
      <c r="A109" s="9">
        <v>510</v>
      </c>
      <c r="B109" t="s">
        <v>29</v>
      </c>
      <c r="C109">
        <v>0.39169999999999999</v>
      </c>
      <c r="D109">
        <v>0.38979999999999998</v>
      </c>
      <c r="E109">
        <v>3.49E-2</v>
      </c>
      <c r="F109">
        <v>1.7999999999999999E-2</v>
      </c>
      <c r="G109">
        <v>0.71240000000000003</v>
      </c>
      <c r="I109" s="9">
        <v>511</v>
      </c>
      <c r="J109" t="s">
        <v>29</v>
      </c>
      <c r="K109">
        <v>0.39129999999999998</v>
      </c>
      <c r="L109">
        <v>0.38979999999999998</v>
      </c>
      <c r="M109">
        <v>3.6600000000000001E-2</v>
      </c>
      <c r="N109">
        <v>6.1000000000000004E-3</v>
      </c>
      <c r="O109">
        <v>0.71560000000000001</v>
      </c>
      <c r="Q109" s="9">
        <v>512</v>
      </c>
      <c r="R109" t="s">
        <v>29</v>
      </c>
      <c r="S109">
        <v>0.39219999999999999</v>
      </c>
      <c r="T109">
        <v>0.3896</v>
      </c>
      <c r="U109">
        <v>2.9399999999999999E-2</v>
      </c>
      <c r="V109">
        <v>4.2200000000000001E-2</v>
      </c>
      <c r="W109">
        <v>0.69230000000000003</v>
      </c>
      <c r="Y109" s="9">
        <v>513</v>
      </c>
      <c r="Z109" t="s">
        <v>29</v>
      </c>
      <c r="AA109">
        <v>0.39410000000000001</v>
      </c>
      <c r="AB109">
        <v>0.39029999999999998</v>
      </c>
      <c r="AC109">
        <v>1.84E-2</v>
      </c>
      <c r="AD109">
        <v>0.37590000000000001</v>
      </c>
      <c r="AE109">
        <v>0.52210000000000001</v>
      </c>
    </row>
    <row r="110" spans="1:31" x14ac:dyDescent="0.35">
      <c r="A110" s="9">
        <v>520</v>
      </c>
      <c r="B110" t="s">
        <v>26</v>
      </c>
      <c r="C110">
        <v>0.23250000000000001</v>
      </c>
      <c r="D110">
        <v>0.23119999999999999</v>
      </c>
      <c r="E110">
        <v>1.9699999999999999E-2</v>
      </c>
      <c r="F110">
        <v>0.1744</v>
      </c>
      <c r="G110">
        <v>0.38550000000000001</v>
      </c>
      <c r="I110" s="9">
        <v>521</v>
      </c>
      <c r="J110" t="s">
        <v>26</v>
      </c>
      <c r="K110">
        <v>0.23300000000000001</v>
      </c>
      <c r="L110">
        <v>0.23169999999999999</v>
      </c>
      <c r="M110">
        <v>1.9800000000000002E-2</v>
      </c>
      <c r="N110">
        <v>0.17910000000000001</v>
      </c>
      <c r="O110">
        <v>0.40329999999999999</v>
      </c>
      <c r="Q110" s="9">
        <v>522</v>
      </c>
      <c r="R110" t="s">
        <v>26</v>
      </c>
      <c r="S110">
        <v>0.22550000000000001</v>
      </c>
      <c r="T110">
        <v>0.22339999999999999</v>
      </c>
      <c r="U110">
        <v>1.89E-2</v>
      </c>
      <c r="V110">
        <v>0.16</v>
      </c>
      <c r="W110">
        <v>0.4476</v>
      </c>
      <c r="Y110" s="9">
        <v>523</v>
      </c>
      <c r="Z110" t="s">
        <v>26</v>
      </c>
      <c r="AA110">
        <v>0.24560000000000001</v>
      </c>
      <c r="AB110">
        <v>0.24249999999999999</v>
      </c>
      <c r="AC110">
        <v>1.49E-2</v>
      </c>
      <c r="AD110">
        <v>0.23139999999999999</v>
      </c>
      <c r="AE110">
        <v>0.35320000000000001</v>
      </c>
    </row>
    <row r="111" spans="1:31" x14ac:dyDescent="0.35">
      <c r="A111" s="9">
        <v>520</v>
      </c>
      <c r="B111" t="s">
        <v>27</v>
      </c>
      <c r="C111">
        <v>0.2462</v>
      </c>
      <c r="D111">
        <v>0.2427</v>
      </c>
      <c r="E111">
        <v>1.9300000000000001E-2</v>
      </c>
      <c r="F111">
        <v>0.1986</v>
      </c>
      <c r="G111">
        <v>0.40910000000000002</v>
      </c>
      <c r="I111" s="9">
        <v>521</v>
      </c>
      <c r="J111" t="s">
        <v>27</v>
      </c>
      <c r="K111">
        <v>0.24629999999999999</v>
      </c>
      <c r="L111">
        <v>0.2427</v>
      </c>
      <c r="M111">
        <v>1.95E-2</v>
      </c>
      <c r="N111">
        <v>0.19719999999999999</v>
      </c>
      <c r="O111">
        <v>0.43049999999999999</v>
      </c>
      <c r="Q111" s="9">
        <v>522</v>
      </c>
      <c r="R111" t="s">
        <v>27</v>
      </c>
      <c r="S111">
        <v>0.24579999999999999</v>
      </c>
      <c r="T111">
        <v>0.24260000000000001</v>
      </c>
      <c r="U111">
        <v>2.07E-2</v>
      </c>
      <c r="V111">
        <v>0.19389999999999999</v>
      </c>
      <c r="W111">
        <v>0.48680000000000001</v>
      </c>
      <c r="Y111" s="9">
        <v>523</v>
      </c>
      <c r="Z111" t="s">
        <v>27</v>
      </c>
      <c r="AA111">
        <v>0.24560000000000001</v>
      </c>
      <c r="AB111">
        <v>0.24249999999999999</v>
      </c>
      <c r="AC111">
        <v>1.49E-2</v>
      </c>
      <c r="AD111">
        <v>0.23139999999999999</v>
      </c>
      <c r="AE111">
        <v>0.35320000000000001</v>
      </c>
    </row>
    <row r="112" spans="1:31" x14ac:dyDescent="0.35">
      <c r="A112" s="9">
        <v>520</v>
      </c>
      <c r="B112" t="s">
        <v>28</v>
      </c>
      <c r="C112">
        <v>0.81200000000000006</v>
      </c>
      <c r="D112">
        <v>0.84819999999999995</v>
      </c>
      <c r="E112">
        <v>8.1199999999999994E-2</v>
      </c>
      <c r="F112">
        <v>0.52390000000000003</v>
      </c>
      <c r="G112">
        <v>0.95440000000000003</v>
      </c>
      <c r="I112" s="9">
        <v>521</v>
      </c>
      <c r="J112" t="s">
        <v>28</v>
      </c>
      <c r="K112">
        <v>0.81630000000000003</v>
      </c>
      <c r="L112">
        <v>0.85440000000000005</v>
      </c>
      <c r="M112">
        <v>8.1299999999999997E-2</v>
      </c>
      <c r="N112">
        <v>0.56340000000000001</v>
      </c>
      <c r="O112">
        <v>0.96109999999999995</v>
      </c>
      <c r="Q112" s="9">
        <v>522</v>
      </c>
      <c r="R112" t="s">
        <v>28</v>
      </c>
      <c r="S112">
        <v>0.73599999999999999</v>
      </c>
      <c r="T112">
        <v>0.7429</v>
      </c>
      <c r="U112">
        <v>6.2E-2</v>
      </c>
      <c r="V112">
        <v>0.37040000000000001</v>
      </c>
      <c r="W112">
        <v>0.95209999999999995</v>
      </c>
      <c r="Y112" s="9">
        <v>523</v>
      </c>
      <c r="Z112" t="s">
        <v>28</v>
      </c>
      <c r="AA112">
        <v>1</v>
      </c>
      <c r="AB112">
        <v>1</v>
      </c>
      <c r="AC112">
        <v>0</v>
      </c>
      <c r="AD112">
        <v>1</v>
      </c>
      <c r="AE112">
        <v>1</v>
      </c>
    </row>
    <row r="113" spans="1:31" x14ac:dyDescent="0.35">
      <c r="A113" s="9">
        <v>520</v>
      </c>
      <c r="B113" t="s">
        <v>29</v>
      </c>
      <c r="C113">
        <v>0.37690000000000001</v>
      </c>
      <c r="D113">
        <v>0.37559999999999999</v>
      </c>
      <c r="E113">
        <v>2.52E-2</v>
      </c>
      <c r="F113">
        <v>0.29699999999999999</v>
      </c>
      <c r="G113">
        <v>0.55649999999999999</v>
      </c>
      <c r="I113" s="9">
        <v>521</v>
      </c>
      <c r="J113" t="s">
        <v>29</v>
      </c>
      <c r="K113">
        <v>0.3775</v>
      </c>
      <c r="L113">
        <v>0.37619999999999998</v>
      </c>
      <c r="M113">
        <v>2.53E-2</v>
      </c>
      <c r="N113">
        <v>0.30380000000000001</v>
      </c>
      <c r="O113">
        <v>0.57479999999999998</v>
      </c>
      <c r="Q113" s="9">
        <v>522</v>
      </c>
      <c r="R113" t="s">
        <v>29</v>
      </c>
      <c r="S113">
        <v>0.36770000000000003</v>
      </c>
      <c r="T113">
        <v>0.36530000000000001</v>
      </c>
      <c r="U113">
        <v>2.4199999999999999E-2</v>
      </c>
      <c r="V113">
        <v>0.27589999999999998</v>
      </c>
      <c r="W113">
        <v>0.61839999999999995</v>
      </c>
      <c r="Y113" s="9">
        <v>523</v>
      </c>
      <c r="Z113" t="s">
        <v>29</v>
      </c>
      <c r="AA113">
        <v>0.39410000000000001</v>
      </c>
      <c r="AB113">
        <v>0.39029999999999998</v>
      </c>
      <c r="AC113">
        <v>1.84E-2</v>
      </c>
      <c r="AD113">
        <v>0.37590000000000001</v>
      </c>
      <c r="AE113">
        <v>0.52210000000000001</v>
      </c>
    </row>
    <row r="114" spans="1:31" x14ac:dyDescent="0.35">
      <c r="A114" s="9">
        <v>530</v>
      </c>
      <c r="B114" t="s">
        <v>26</v>
      </c>
      <c r="C114">
        <v>0.22339999999999999</v>
      </c>
      <c r="D114">
        <v>0.22470000000000001</v>
      </c>
      <c r="E114">
        <v>6.6699999999999995E-2</v>
      </c>
      <c r="F114">
        <v>0</v>
      </c>
      <c r="G114">
        <v>0.49709999999999999</v>
      </c>
      <c r="I114" s="9">
        <v>531</v>
      </c>
      <c r="J114" t="s">
        <v>26</v>
      </c>
      <c r="K114">
        <v>0.22309999999999999</v>
      </c>
      <c r="L114">
        <v>0.22420000000000001</v>
      </c>
      <c r="M114">
        <v>6.7000000000000004E-2</v>
      </c>
      <c r="N114">
        <v>0</v>
      </c>
      <c r="O114">
        <v>0.49609999999999999</v>
      </c>
      <c r="Q114" s="9">
        <v>532</v>
      </c>
      <c r="R114" t="s">
        <v>26</v>
      </c>
      <c r="S114">
        <v>0.24410000000000001</v>
      </c>
      <c r="T114">
        <v>0.24210000000000001</v>
      </c>
      <c r="U114">
        <v>1.8800000000000001E-2</v>
      </c>
      <c r="V114">
        <v>0.11600000000000001</v>
      </c>
      <c r="W114">
        <v>0.35</v>
      </c>
      <c r="Y114" s="9">
        <v>533</v>
      </c>
      <c r="Z114" t="s">
        <v>26</v>
      </c>
      <c r="AA114">
        <v>0.24560000000000001</v>
      </c>
      <c r="AB114">
        <v>0.24249999999999999</v>
      </c>
      <c r="AC114">
        <v>1.49E-2</v>
      </c>
      <c r="AD114">
        <v>0.23139999999999999</v>
      </c>
      <c r="AE114">
        <v>0.35320000000000001</v>
      </c>
    </row>
    <row r="115" spans="1:31" x14ac:dyDescent="0.35">
      <c r="A115" s="9">
        <v>530</v>
      </c>
      <c r="B115" t="s">
        <v>27</v>
      </c>
      <c r="C115">
        <v>0.2631</v>
      </c>
      <c r="D115">
        <v>0.24709999999999999</v>
      </c>
      <c r="E115">
        <v>5.4399999999999997E-2</v>
      </c>
      <c r="F115">
        <v>0</v>
      </c>
      <c r="G115">
        <v>0.81410000000000005</v>
      </c>
      <c r="I115" s="9">
        <v>531</v>
      </c>
      <c r="J115" t="s">
        <v>27</v>
      </c>
      <c r="K115">
        <v>0.26319999999999999</v>
      </c>
      <c r="L115">
        <v>0.24709999999999999</v>
      </c>
      <c r="M115">
        <v>5.4600000000000003E-2</v>
      </c>
      <c r="N115">
        <v>0</v>
      </c>
      <c r="O115">
        <v>0.81210000000000004</v>
      </c>
      <c r="Q115" s="9">
        <v>532</v>
      </c>
      <c r="R115" t="s">
        <v>27</v>
      </c>
      <c r="S115">
        <v>0.24640000000000001</v>
      </c>
      <c r="T115">
        <v>0.2424</v>
      </c>
      <c r="U115">
        <v>1.95E-2</v>
      </c>
      <c r="V115">
        <v>0.18690000000000001</v>
      </c>
      <c r="W115">
        <v>0.46360000000000001</v>
      </c>
      <c r="Y115" s="9">
        <v>533</v>
      </c>
      <c r="Z115" t="s">
        <v>27</v>
      </c>
      <c r="AA115">
        <v>0.24560000000000001</v>
      </c>
      <c r="AB115">
        <v>0.24249999999999999</v>
      </c>
      <c r="AC115">
        <v>1.49E-2</v>
      </c>
      <c r="AD115">
        <v>0.23139999999999999</v>
      </c>
      <c r="AE115">
        <v>0.35320000000000001</v>
      </c>
    </row>
    <row r="116" spans="1:31" x14ac:dyDescent="0.35">
      <c r="A116" s="9">
        <v>530</v>
      </c>
      <c r="B116" t="s">
        <v>28</v>
      </c>
      <c r="C116">
        <v>0.66159999999999997</v>
      </c>
      <c r="D116">
        <v>0.75470000000000004</v>
      </c>
      <c r="E116">
        <v>0.2424</v>
      </c>
      <c r="F116">
        <v>0</v>
      </c>
      <c r="G116">
        <v>0.99629999999999996</v>
      </c>
      <c r="I116" s="9">
        <v>531</v>
      </c>
      <c r="J116" t="s">
        <v>28</v>
      </c>
      <c r="K116">
        <v>0.65920000000000001</v>
      </c>
      <c r="L116">
        <v>0.75460000000000005</v>
      </c>
      <c r="M116">
        <v>0.2422</v>
      </c>
      <c r="N116">
        <v>0</v>
      </c>
      <c r="O116">
        <v>0.99760000000000004</v>
      </c>
      <c r="Q116" s="9">
        <v>532</v>
      </c>
      <c r="R116" t="s">
        <v>28</v>
      </c>
      <c r="S116">
        <v>0.98160000000000003</v>
      </c>
      <c r="T116">
        <v>0.99980000000000002</v>
      </c>
      <c r="U116">
        <v>9.1999999999999998E-2</v>
      </c>
      <c r="V116">
        <v>0.1522</v>
      </c>
      <c r="W116">
        <v>1</v>
      </c>
      <c r="Y116" s="9">
        <v>533</v>
      </c>
      <c r="Z116" t="s">
        <v>28</v>
      </c>
      <c r="AA116">
        <v>1</v>
      </c>
      <c r="AB116">
        <v>1</v>
      </c>
      <c r="AC116">
        <v>0</v>
      </c>
      <c r="AD116">
        <v>1</v>
      </c>
      <c r="AE116">
        <v>1</v>
      </c>
    </row>
    <row r="117" spans="1:31" x14ac:dyDescent="0.35">
      <c r="A117" s="9">
        <v>530</v>
      </c>
      <c r="B117" t="s">
        <v>29</v>
      </c>
      <c r="C117">
        <v>0.36020000000000002</v>
      </c>
      <c r="D117">
        <v>0.3669</v>
      </c>
      <c r="E117">
        <v>9.1600000000000001E-2</v>
      </c>
      <c r="F117">
        <v>0</v>
      </c>
      <c r="G117">
        <v>0.66410000000000002</v>
      </c>
      <c r="I117" s="9">
        <v>531</v>
      </c>
      <c r="J117" t="s">
        <v>29</v>
      </c>
      <c r="K117">
        <v>0.35980000000000001</v>
      </c>
      <c r="L117">
        <v>0.36630000000000001</v>
      </c>
      <c r="M117">
        <v>9.2100000000000001E-2</v>
      </c>
      <c r="N117">
        <v>0</v>
      </c>
      <c r="O117">
        <v>0.66320000000000001</v>
      </c>
      <c r="Q117" s="9">
        <v>532</v>
      </c>
      <c r="R117" t="s">
        <v>29</v>
      </c>
      <c r="S117">
        <v>0.39200000000000002</v>
      </c>
      <c r="T117">
        <v>0.38979999999999998</v>
      </c>
      <c r="U117">
        <v>2.41E-2</v>
      </c>
      <c r="V117">
        <v>0.20780000000000001</v>
      </c>
      <c r="W117">
        <v>0.51849999999999996</v>
      </c>
      <c r="Y117" s="9">
        <v>533</v>
      </c>
      <c r="Z117" t="s">
        <v>29</v>
      </c>
      <c r="AA117">
        <v>0.39410000000000001</v>
      </c>
      <c r="AB117">
        <v>0.39029999999999998</v>
      </c>
      <c r="AC117">
        <v>1.84E-2</v>
      </c>
      <c r="AD117">
        <v>0.37590000000000001</v>
      </c>
      <c r="AE117">
        <v>0.52210000000000001</v>
      </c>
    </row>
    <row r="118" spans="1:31" x14ac:dyDescent="0.35">
      <c r="A118" s="9">
        <v>540</v>
      </c>
      <c r="B118" t="s">
        <v>26</v>
      </c>
      <c r="C118">
        <v>0.2157</v>
      </c>
      <c r="D118">
        <v>0.23480000000000001</v>
      </c>
      <c r="E118">
        <v>6.7299999999999999E-2</v>
      </c>
      <c r="F118">
        <v>0</v>
      </c>
      <c r="G118">
        <v>0.56440000000000001</v>
      </c>
      <c r="I118" s="9">
        <v>541</v>
      </c>
      <c r="J118" t="s">
        <v>26</v>
      </c>
      <c r="K118">
        <v>0.2152</v>
      </c>
      <c r="L118">
        <v>0.23430000000000001</v>
      </c>
      <c r="M118">
        <v>6.8000000000000005E-2</v>
      </c>
      <c r="N118">
        <v>0</v>
      </c>
      <c r="O118">
        <v>0.56510000000000005</v>
      </c>
      <c r="Q118" s="9">
        <v>542</v>
      </c>
      <c r="R118" t="s">
        <v>26</v>
      </c>
      <c r="S118">
        <v>0.23530000000000001</v>
      </c>
      <c r="T118">
        <v>0.2414</v>
      </c>
      <c r="U118">
        <v>4.07E-2</v>
      </c>
      <c r="V118">
        <v>0</v>
      </c>
      <c r="W118">
        <v>0.56759999999999999</v>
      </c>
      <c r="Y118" s="9">
        <v>543</v>
      </c>
      <c r="Z118" t="s">
        <v>26</v>
      </c>
      <c r="AA118">
        <v>0.24560000000000001</v>
      </c>
      <c r="AB118">
        <v>0.24249999999999999</v>
      </c>
      <c r="AC118">
        <v>1.49E-2</v>
      </c>
      <c r="AD118">
        <v>0.23139999999999999</v>
      </c>
      <c r="AE118">
        <v>0.35320000000000001</v>
      </c>
    </row>
    <row r="119" spans="1:31" x14ac:dyDescent="0.35">
      <c r="A119" s="9">
        <v>540</v>
      </c>
      <c r="B119" t="s">
        <v>27</v>
      </c>
      <c r="C119">
        <v>0.255</v>
      </c>
      <c r="D119">
        <v>0.24379999999999999</v>
      </c>
      <c r="E119">
        <v>5.4899999999999997E-2</v>
      </c>
      <c r="F119">
        <v>0</v>
      </c>
      <c r="G119">
        <v>0.98180000000000001</v>
      </c>
      <c r="I119" s="9">
        <v>541</v>
      </c>
      <c r="J119" t="s">
        <v>27</v>
      </c>
      <c r="K119">
        <v>0.25530000000000003</v>
      </c>
      <c r="L119">
        <v>0.24399999999999999</v>
      </c>
      <c r="M119">
        <v>5.5599999999999997E-2</v>
      </c>
      <c r="N119">
        <v>0</v>
      </c>
      <c r="O119">
        <v>0.98109999999999997</v>
      </c>
      <c r="Q119" s="9">
        <v>542</v>
      </c>
      <c r="R119" t="s">
        <v>27</v>
      </c>
      <c r="S119">
        <v>0.24740000000000001</v>
      </c>
      <c r="T119">
        <v>0.2422</v>
      </c>
      <c r="U119">
        <v>3.6499999999999998E-2</v>
      </c>
      <c r="V119">
        <v>0</v>
      </c>
      <c r="W119">
        <v>0.86599999999999999</v>
      </c>
      <c r="Y119" s="9">
        <v>543</v>
      </c>
      <c r="Z119" t="s">
        <v>27</v>
      </c>
      <c r="AA119">
        <v>0.24560000000000001</v>
      </c>
      <c r="AB119">
        <v>0.24249999999999999</v>
      </c>
      <c r="AC119">
        <v>1.49E-2</v>
      </c>
      <c r="AD119">
        <v>0.23139999999999999</v>
      </c>
      <c r="AE119">
        <v>0.35320000000000001</v>
      </c>
    </row>
    <row r="120" spans="1:31" x14ac:dyDescent="0.35">
      <c r="A120" s="9">
        <v>540</v>
      </c>
      <c r="B120" t="s">
        <v>28</v>
      </c>
      <c r="C120">
        <v>0.72199999999999998</v>
      </c>
      <c r="D120">
        <v>0.88590000000000002</v>
      </c>
      <c r="E120">
        <v>0.30969999999999998</v>
      </c>
      <c r="F120">
        <v>0</v>
      </c>
      <c r="G120">
        <v>0.99850000000000005</v>
      </c>
      <c r="I120" s="9">
        <v>541</v>
      </c>
      <c r="J120" t="s">
        <v>28</v>
      </c>
      <c r="K120">
        <v>0.71589999999999998</v>
      </c>
      <c r="L120">
        <v>0.87890000000000001</v>
      </c>
      <c r="M120">
        <v>0.31019999999999998</v>
      </c>
      <c r="N120">
        <v>0</v>
      </c>
      <c r="O120">
        <v>0.99909999999999999</v>
      </c>
      <c r="Q120" s="9">
        <v>542</v>
      </c>
      <c r="R120" t="s">
        <v>28</v>
      </c>
      <c r="S120">
        <v>0.91269999999999996</v>
      </c>
      <c r="T120">
        <v>0.99980000000000002</v>
      </c>
      <c r="U120">
        <v>0.22059999999999999</v>
      </c>
      <c r="V120">
        <v>0</v>
      </c>
      <c r="W120">
        <v>1</v>
      </c>
      <c r="Y120" s="9">
        <v>543</v>
      </c>
      <c r="Z120" t="s">
        <v>28</v>
      </c>
      <c r="AA120">
        <v>1</v>
      </c>
      <c r="AB120">
        <v>1</v>
      </c>
      <c r="AC120">
        <v>0</v>
      </c>
      <c r="AD120">
        <v>1</v>
      </c>
      <c r="AE120">
        <v>1</v>
      </c>
    </row>
    <row r="121" spans="1:31" x14ac:dyDescent="0.35">
      <c r="A121" s="9">
        <v>540</v>
      </c>
      <c r="B121" t="s">
        <v>29</v>
      </c>
      <c r="C121">
        <v>0.34949999999999998</v>
      </c>
      <c r="D121">
        <v>0.38030000000000003</v>
      </c>
      <c r="E121">
        <v>9.7000000000000003E-2</v>
      </c>
      <c r="F121">
        <v>0</v>
      </c>
      <c r="G121">
        <v>0.72150000000000003</v>
      </c>
      <c r="I121" s="9">
        <v>541</v>
      </c>
      <c r="J121" t="s">
        <v>29</v>
      </c>
      <c r="K121">
        <v>0.34870000000000001</v>
      </c>
      <c r="L121">
        <v>0.37969999999999998</v>
      </c>
      <c r="M121">
        <v>9.8000000000000004E-2</v>
      </c>
      <c r="N121">
        <v>0</v>
      </c>
      <c r="O121">
        <v>0.72219999999999995</v>
      </c>
      <c r="Q121" s="9">
        <v>542</v>
      </c>
      <c r="R121" t="s">
        <v>29</v>
      </c>
      <c r="S121">
        <v>0.37909999999999999</v>
      </c>
      <c r="T121">
        <v>0.38890000000000002</v>
      </c>
      <c r="U121">
        <v>5.7700000000000001E-2</v>
      </c>
      <c r="V121">
        <v>0</v>
      </c>
      <c r="W121">
        <v>0.72419999999999995</v>
      </c>
      <c r="Y121" s="9">
        <v>543</v>
      </c>
      <c r="Z121" t="s">
        <v>29</v>
      </c>
      <c r="AA121">
        <v>0.39410000000000001</v>
      </c>
      <c r="AB121">
        <v>0.39029999999999998</v>
      </c>
      <c r="AC121">
        <v>1.84E-2</v>
      </c>
      <c r="AD121">
        <v>0.37590000000000001</v>
      </c>
      <c r="AE121">
        <v>0.52210000000000001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C3BB-FA0F-45B4-851C-C905E31F97F9}">
  <dimension ref="A1:G29"/>
  <sheetViews>
    <sheetView workbookViewId="0">
      <selection activeCell="F14" sqref="F14"/>
    </sheetView>
  </sheetViews>
  <sheetFormatPr defaultRowHeight="14.5" x14ac:dyDescent="0.35"/>
  <cols>
    <col min="1" max="1" width="10.6328125" customWidth="1"/>
    <col min="3" max="3" width="10.90625" customWidth="1"/>
    <col min="4" max="4" width="11.26953125" customWidth="1"/>
    <col min="6" max="6" width="10" customWidth="1"/>
    <col min="7" max="7" width="18.90625" customWidth="1"/>
    <col min="11" max="11" width="9.453125" customWidth="1"/>
  </cols>
  <sheetData>
    <row r="1" spans="1:5" x14ac:dyDescent="0.35">
      <c r="A1" s="6" t="s">
        <v>36</v>
      </c>
      <c r="B1" s="6" t="s">
        <v>26</v>
      </c>
      <c r="C1" s="6" t="s">
        <v>27</v>
      </c>
      <c r="D1" s="6" t="s">
        <v>28</v>
      </c>
      <c r="E1" s="6" t="s">
        <v>29</v>
      </c>
    </row>
    <row r="2" spans="1:5" x14ac:dyDescent="0.35">
      <c r="A2" t="s">
        <v>14</v>
      </c>
      <c r="B2" cm="1">
        <f t="array" ref="B2">(AVERAGE(IF(MOD(ROW(Data!C2:C121)-MIN(ROW(Data!C2:C121)),4)=0,Data!C2:C121)))</f>
        <v>0.22060666666666673</v>
      </c>
      <c r="C2" cm="1">
        <f t="array" ref="C2">(AVERAGE(IF(MOD(ROW(Data!C3:C121)-MIN(ROW(Data!C3:C121)),4)=0,Data!C3:C121)))</f>
        <v>0.25205999999999995</v>
      </c>
      <c r="D2" cm="1">
        <f t="array" ref="D2">(AVERAGE(IF(MOD(ROW(Data!C4:C121)-MIN(ROW(Data!C4:C121)),4)=0,Data!C4:C121)))</f>
        <v>0.76034000000000002</v>
      </c>
      <c r="E2" cm="1">
        <f t="array" ref="E2">(AVERAGE(IF(MOD(ROW(Data!C5:C121)-MIN(ROW(Data!C5:C121)),4)=0,Data!C5:C121)))</f>
        <v>0.35636333333333342</v>
      </c>
    </row>
    <row r="3" spans="1:5" x14ac:dyDescent="0.35">
      <c r="A3" t="s">
        <v>15</v>
      </c>
      <c r="B3" cm="1">
        <f t="array" ref="B3">(AVERAGE(IF(MOD(ROW(Data!K2:K121)-MIN(ROW(Data!K2:K121)),4)=0,Data!K2:K121)))</f>
        <v>0.22049666666666665</v>
      </c>
      <c r="C3" cm="1">
        <f t="array" ref="C3">(AVERAGE(IF(MOD(ROW(Data!K3:K121)-MIN(ROW(Data!K3:K121)),4)=0,Data!K3:K121)))</f>
        <v>0.25219999999999998</v>
      </c>
      <c r="D3" cm="1">
        <f t="array" ref="D3">(AVERAGE(IF(MOD(ROW(Data!K4:K121)-MIN(ROW(Data!K4:K121)),4)=0,Data!K4:K121)))</f>
        <v>0.75841666666666674</v>
      </c>
      <c r="E3" cm="1">
        <f t="array" ref="E3">(AVERAGE(IF(MOD(ROW(Data!K5:K121)-MIN(ROW(Data!K5:K121)),4)=0,Data!K5:K121)))</f>
        <v>0.35617666666666659</v>
      </c>
    </row>
    <row r="4" spans="1:5" x14ac:dyDescent="0.35">
      <c r="A4" t="s">
        <v>16</v>
      </c>
      <c r="B4" cm="1">
        <f t="array" ref="B4">(AVERAGE(IF(MOD(ROW(Data!S2:S121)-MIN(ROW(Data!S2:S121)),4)=0,Data!S2:S121)))</f>
        <v>0.2339333333333333</v>
      </c>
      <c r="C4" cm="1">
        <f t="array" ref="C4">(AVERAGE(IF(MOD(ROW(Data!S3:S121)-MIN(ROW(Data!S3:S121)),4)=0,Data!S3:S121)))</f>
        <v>0.24681333333333336</v>
      </c>
      <c r="D4" cm="1">
        <f t="array" ref="D4">(AVERAGE(IF(MOD(ROW(Data!S4:S121)-MIN(ROW(Data!S4:S121)),4)=0,Data!S4:S121)))</f>
        <v>0.88785333333333338</v>
      </c>
      <c r="E4" cm="1">
        <f t="array" ref="E4">(AVERAGE(IF(MOD(ROW(Data!S5:S121)-MIN(ROW(Data!S5:S121)),4)=0,Data!S5:S121)))</f>
        <v>0.37745666666666655</v>
      </c>
    </row>
    <row r="5" spans="1:5" x14ac:dyDescent="0.35">
      <c r="A5" t="s">
        <v>17</v>
      </c>
      <c r="B5" cm="1">
        <f t="array" ref="B5">(AVERAGE(IF(MOD(ROW(Data!AA2:AA121)-MIN(ROW(Data!AA2:AA121)),4)=0,Data!AA2:AA121)))</f>
        <v>0.24559999999999985</v>
      </c>
      <c r="C5" cm="1">
        <f t="array" ref="C5">(AVERAGE(IF(MOD(ROW(Data!AA3:AA121)-MIN(ROW(Data!AA3:AA121)),4)=0,Data!AA3:AA121)))</f>
        <v>0.24559999999999985</v>
      </c>
      <c r="D5" cm="1">
        <f t="array" ref="D5">(AVERAGE(IF(MOD(ROW(Data!AA4:AA121)-MIN(ROW(Data!AA4:AA121)),4)=0,Data!AA4:AA121)))</f>
        <v>1</v>
      </c>
      <c r="E5" cm="1">
        <f t="array" ref="E5">(AVERAGE(IF(MOD(ROW(Data!AA5:AA121)-MIN(ROW(Data!AA5:AA121)),4)=0,Data!AA5:AA121)))</f>
        <v>0.39409999999999995</v>
      </c>
    </row>
    <row r="7" spans="1:5" x14ac:dyDescent="0.35">
      <c r="A7" s="6" t="s">
        <v>37</v>
      </c>
      <c r="B7" s="6" t="s">
        <v>26</v>
      </c>
      <c r="C7" s="6" t="s">
        <v>27</v>
      </c>
      <c r="D7" s="6" t="s">
        <v>28</v>
      </c>
      <c r="E7" s="6" t="s">
        <v>29</v>
      </c>
    </row>
    <row r="8" spans="1:5" x14ac:dyDescent="0.35">
      <c r="A8" t="s">
        <v>14</v>
      </c>
      <c r="B8" cm="1">
        <f t="array" ref="B8">(MAX(IF(MOD(ROW(Data!C2:C121)-MIN(ROW(Data!C2:C121)),4)=0,Data!C2:C121)))</f>
        <v>0.24590000000000001</v>
      </c>
      <c r="C8" cm="1">
        <f t="array" ref="C8">(MAX(IF(MOD(ROW(Data!C3:C121)-MIN(ROW(Data!C3:C121)),4)=0,Data!C3:C121)))</f>
        <v>0.2631</v>
      </c>
      <c r="D8" cm="1">
        <f t="array" ref="D8">(MAX(IF(MOD(ROW(Data!C4:C121)-MIN(ROW(Data!C4:C121)),4)=0,Data!C4:C121)))</f>
        <v>0.997</v>
      </c>
      <c r="E8" cm="1">
        <f t="array" ref="E8">(MAX(IF(MOD(ROW(Data!C5:C121)-MIN(ROW(Data!C5:C121)),4)=0,Data!C5:C121)))</f>
        <v>0.39450000000000002</v>
      </c>
    </row>
    <row r="9" spans="1:5" x14ac:dyDescent="0.35">
      <c r="A9" t="s">
        <v>15</v>
      </c>
      <c r="B9" cm="1">
        <f t="array" ref="B9">(MAX(IF(MOD(ROW(Data!K2:K121)-MIN(ROW(Data!K2:K121)),4)=0,Data!K2:K121)))</f>
        <v>0.24590000000000001</v>
      </c>
      <c r="C9" cm="1">
        <f t="array" ref="C9">(MAX(IF(MOD(ROW(Data!K3:K121)-MIN(ROW(Data!K3:K121)),4)=0,Data!K3:K121)))</f>
        <v>0.26319999999999999</v>
      </c>
      <c r="D9" cm="1">
        <f t="array" ref="D9">(MAX(IF(MOD(ROW(Data!K4:K121)-MIN(ROW(Data!K4:K121)),4)=0,Data!K4:K121)))</f>
        <v>0.99750000000000005</v>
      </c>
      <c r="E9" cm="1">
        <f t="array" ref="E9">(MAX(IF(MOD(ROW(Data!K5:K121)-MIN(ROW(Data!K5:K121)),4)=0,Data!K5:K121)))</f>
        <v>0.39450000000000002</v>
      </c>
    </row>
    <row r="10" spans="1:5" x14ac:dyDescent="0.35">
      <c r="A10" t="s">
        <v>16</v>
      </c>
      <c r="B10" cm="1">
        <f t="array" ref="B10">(MAX(IF(MOD(ROW(Data!S2:S121)-MIN(ROW(Data!S2:S121)),4)=0,Data!S2:S121)))</f>
        <v>0.24560000000000001</v>
      </c>
      <c r="C10" cm="1">
        <f t="array" ref="C10">(MAX(IF(MOD(ROW(Data!S3:S121)-MIN(ROW(Data!S3:S121)),4)=0,Data!S3:S121)))</f>
        <v>0.25019999999999998</v>
      </c>
      <c r="D10" cm="1">
        <f t="array" ref="D10">(MAX(IF(MOD(ROW(Data!S4:S121)-MIN(ROW(Data!S4:S121)),4)=0,Data!S4:S121)))</f>
        <v>0.99690000000000001</v>
      </c>
      <c r="E10" cm="1">
        <f t="array" ref="E10">(MAX(IF(MOD(ROW(Data!S5:S121)-MIN(ROW(Data!S5:S121)),4)=0,Data!S5:S121)))</f>
        <v>0.39410000000000001</v>
      </c>
    </row>
    <row r="11" spans="1:5" x14ac:dyDescent="0.35">
      <c r="A11" t="s">
        <v>17</v>
      </c>
      <c r="B11" cm="1">
        <f t="array" ref="B11">(MAX(IF(MOD(ROW(Data!AA2:AA121)-MIN(ROW(Data!AA2:AA121)),4)=0,Data!AA2:AA121)))</f>
        <v>0.24560000000000001</v>
      </c>
      <c r="C11" cm="1">
        <f t="array" ref="C11">(MAX(IF(MOD(ROW(Data!AA3:AA121)-MIN(ROW(Data!AA3:AA121)),4)=0,Data!AA3:AA121)))</f>
        <v>0.24560000000000001</v>
      </c>
      <c r="D11" cm="1">
        <f t="array" ref="D11">(MAX(IF(MOD(ROW(Data!AA4:AA121)-MIN(ROW(Data!AA4:AA121)),4)=0,Data!AA4:AA121)))</f>
        <v>1</v>
      </c>
      <c r="E11" cm="1">
        <f t="array" ref="E11">(MAX(IF(MOD(ROW(Data!AA5:AA121)-MIN(ROW(Data!AA5:AA121)),4)=0,Data!AA5:AA121)))</f>
        <v>0.39410000000000001</v>
      </c>
    </row>
    <row r="13" spans="1:5" x14ac:dyDescent="0.35">
      <c r="A13" s="6" t="s">
        <v>38</v>
      </c>
      <c r="B13" s="6" t="s">
        <v>26</v>
      </c>
      <c r="C13" s="6" t="s">
        <v>27</v>
      </c>
      <c r="D13" s="6" t="s">
        <v>28</v>
      </c>
      <c r="E13" s="6" t="s">
        <v>29</v>
      </c>
    </row>
    <row r="14" spans="1:5" x14ac:dyDescent="0.35">
      <c r="A14" t="s">
        <v>14</v>
      </c>
      <c r="B14" cm="1">
        <f t="array" ref="B14">(MIN(IF(MOD(ROW(Data!C2:C121)-MIN(ROW(Data!C2:C121)),4)=0,Data!C2:C121)))</f>
        <v>0.1908</v>
      </c>
      <c r="C14" cm="1">
        <f t="array" ref="C14">(MIN(IF(MOD(ROW(Data!C3:C121)-MIN(ROW(Data!C3:C121)),4)=0,Data!C3:C121)))</f>
        <v>0.2392</v>
      </c>
      <c r="D14" cm="1">
        <f t="array" ref="D14">(MIN(IF(MOD(ROW(Data!C4:C121)-MIN(ROW(Data!C4:C121)),4)=0,Data!C4:C121)))</f>
        <v>0.61099999999999999</v>
      </c>
      <c r="E14" cm="1">
        <f t="array" ref="E14">(MIN(IF(MOD(ROW(Data!C5:C121)-MIN(ROW(Data!C5:C121)),4)=0,Data!C5:C121)))</f>
        <v>0.30969999999999998</v>
      </c>
    </row>
    <row r="15" spans="1:5" x14ac:dyDescent="0.35">
      <c r="A15" t="s">
        <v>15</v>
      </c>
      <c r="B15" cm="1">
        <f t="array" ref="B15">(MIN(IF(MOD(ROW(Data!K2:K121)-MIN(ROW(Data!K2:K121)),4)=0,Data!K2:K121)))</f>
        <v>0.19120000000000001</v>
      </c>
      <c r="C15" cm="1">
        <f t="array" ref="C15">(MIN(IF(MOD(ROW(Data!K3:K121)-MIN(ROW(Data!K3:K121)),4)=0,Data!K3:K121)))</f>
        <v>0.23980000000000001</v>
      </c>
      <c r="D15" cm="1">
        <f t="array" ref="D15">(MIN(IF(MOD(ROW(Data!K4:K121)-MIN(ROW(Data!K4:K121)),4)=0,Data!K4:K121)))</f>
        <v>0.60770000000000002</v>
      </c>
      <c r="E15" cm="1">
        <f t="array" ref="E15">(MIN(IF(MOD(ROW(Data!K5:K121)-MIN(ROW(Data!K5:K121)),4)=0,Data!K5:K121)))</f>
        <v>0.31009999999999999</v>
      </c>
    </row>
    <row r="16" spans="1:5" x14ac:dyDescent="0.35">
      <c r="A16" t="s">
        <v>16</v>
      </c>
      <c r="B16" cm="1">
        <f t="array" ref="B16">(MIN(IF(MOD(ROW(Data!S2:S121)-MIN(ROW(Data!S2:S121)),4)=0,Data!S2:S121)))</f>
        <v>0.19980000000000001</v>
      </c>
      <c r="C16" cm="1">
        <f t="array" ref="C16">(MIN(IF(MOD(ROW(Data!S3:S121)-MIN(ROW(Data!S3:S121)),4)=0,Data!S3:S121)))</f>
        <v>0.2394</v>
      </c>
      <c r="D16" cm="1">
        <f t="array" ref="D16">(MIN(IF(MOD(ROW(Data!S4:S121)-MIN(ROW(Data!S4:S121)),4)=0,Data!S4:S121)))</f>
        <v>0.68540000000000001</v>
      </c>
      <c r="E16" cm="1">
        <f t="array" ref="E16">(MIN(IF(MOD(ROW(Data!S5:S121)-MIN(ROW(Data!S5:S121)),4)=0,Data!S5:S121)))</f>
        <v>0.32619999999999999</v>
      </c>
    </row>
    <row r="17" spans="1:7" x14ac:dyDescent="0.35">
      <c r="A17" t="s">
        <v>17</v>
      </c>
      <c r="B17" cm="1">
        <f t="array" ref="B17">(MIN(IF(MOD(ROW(Data!AA2:AA121)-MIN(ROW(Data!AA2:AA121)),4)=0,Data!AA2:AA121)))</f>
        <v>0.24560000000000001</v>
      </c>
      <c r="C17" cm="1">
        <f t="array" ref="C17">(MIN(IF(MOD(ROW(Data!AA3:AA121)-MIN(ROW(Data!AA3:AA121)),4)=0,Data!AA3:AA121)))</f>
        <v>0.24560000000000001</v>
      </c>
      <c r="D17" cm="1">
        <f t="array" ref="D17">(MIN(IF(MOD(ROW(Data!AA4:AA121)-MIN(ROW(Data!AA4:AA121)),4)=0,Data!AA4:AA121)))</f>
        <v>1</v>
      </c>
      <c r="E17" cm="1">
        <f t="array" ref="E17">(MIN(IF(MOD(ROW(Data!AA5:AA121)-MIN(ROW(Data!AA5:AA121)),4)=0,Data!AA5:AA121)))</f>
        <v>0.39410000000000001</v>
      </c>
    </row>
    <row r="19" spans="1:7" ht="29" x14ac:dyDescent="0.35">
      <c r="A19" s="3" t="s">
        <v>39</v>
      </c>
      <c r="B19" s="6" t="s">
        <v>14</v>
      </c>
      <c r="C19" s="6" t="s">
        <v>15</v>
      </c>
      <c r="D19" s="6" t="s">
        <v>16</v>
      </c>
      <c r="E19" s="6" t="s">
        <v>17</v>
      </c>
      <c r="F19" s="3" t="s">
        <v>40</v>
      </c>
      <c r="G19" s="3" t="s">
        <v>41</v>
      </c>
    </row>
    <row r="20" spans="1:7" x14ac:dyDescent="0.35">
      <c r="A20" s="10" t="s">
        <v>26</v>
      </c>
      <c r="B20" t="str" cm="1">
        <f t="array" ref="B20">_xlfn.TEXTJOIN(", ", TRUE, _xlfn.UNIQUE(_xlfn._xlws.FILTER(Data!A:A, Data!C:C=B8)))</f>
        <v>110</v>
      </c>
      <c r="C20" t="str" cm="1">
        <f t="array" ref="C20">_xlfn.TEXTJOIN(", ", TRUE, _xlfn.UNIQUE(_xlfn._xlws.FILTER(Data!I:I, Data!K:K=B9)))</f>
        <v>111</v>
      </c>
      <c r="D20" s="11" t="str" cm="1">
        <f t="array" ref="D20">_xlfn.TEXTJOIN(", ", TRUE, _xlfn.UNIQUE(_xlfn._xlws.FILTER(Data!Q:Q, Data!S:S=B10)))</f>
        <v>112, 142</v>
      </c>
      <c r="E20" s="12" t="str" cm="1">
        <f t="array" ref="E20">_xlfn.TEXTJOIN(", ", TRUE, _xlfn.UNIQUE(_xlfn._xlws.FILTER(Data!Y:Y, Data!AA:AA=B11)))</f>
        <v>3, 13, 23, 33, 43, 103, 113, 123, 133, 143, 203, 213, 223, 233, 243, 303, 313, 323, 333, 343, 403, 413, 423, 433, 443, 503, 513, 523, 533, 543</v>
      </c>
      <c r="F20" cm="1">
        <f t="array" ref="F20">COUNT(_xlfn.UNIQUE(_xlfn._xlws.FILTER(Data!Y:Y, Data!AA:AA=B11)))</f>
        <v>30</v>
      </c>
      <c r="G20" s="7" t="b">
        <f>EXACT(E20,E21)</f>
        <v>1</v>
      </c>
    </row>
    <row r="21" spans="1:7" x14ac:dyDescent="0.35">
      <c r="A21" s="10" t="s">
        <v>27</v>
      </c>
      <c r="B21" t="str" cm="1">
        <f t="array" ref="B21">_xlfn.TEXTJOIN(", ", TRUE, _xlfn.UNIQUE(_xlfn._xlws.FILTER(Data!A:A, Data!C:C=C8)))</f>
        <v>530</v>
      </c>
      <c r="C21" t="str" cm="1">
        <f t="array" ref="C21">_xlfn.TEXTJOIN(", ", TRUE, _xlfn.UNIQUE(_xlfn._xlws.FILTER(Data!I:I, Data!K:K=C9)))</f>
        <v>531</v>
      </c>
      <c r="D21" s="11" t="str" cm="1">
        <f t="array" ref="D21">_xlfn.TEXTJOIN(", ", TRUE, _xlfn.UNIQUE(_xlfn._xlws.FILTER(Data!Q:Q, Data!S:S=C10)))</f>
        <v>242</v>
      </c>
      <c r="E21" s="11" t="str" cm="1">
        <f t="array" ref="E21">_xlfn.TEXTJOIN(", ", TRUE, _xlfn.UNIQUE(_xlfn._xlws.FILTER(Data!Y:Y, Data!AA:AA=C11)))</f>
        <v>3, 13, 23, 33, 43, 103, 113, 123, 133, 143, 203, 213, 223, 233, 243, 303, 313, 323, 333, 343, 403, 413, 423, 433, 443, 503, 513, 523, 533, 543</v>
      </c>
      <c r="F21" cm="1">
        <f t="array" ref="F21">COUNT(_xlfn.UNIQUE(_xlfn._xlws.FILTER(Data!Y:Y, Data!AA:AA=C11)))</f>
        <v>30</v>
      </c>
      <c r="G21" t="b">
        <f>EXACT(E21,E22)</f>
        <v>1</v>
      </c>
    </row>
    <row r="22" spans="1:7" x14ac:dyDescent="0.35">
      <c r="A22" s="10" t="s">
        <v>28</v>
      </c>
      <c r="B22" t="str" cm="1">
        <f t="array" ref="B22">_xlfn.TEXTJOIN(", ", TRUE, _xlfn.UNIQUE(_xlfn._xlws.FILTER(Data!A:A, Data!C:C=D8)))</f>
        <v>110</v>
      </c>
      <c r="C22" t="str" cm="1">
        <f t="array" ref="C22">_xlfn.TEXTJOIN(", ", TRUE, _xlfn.UNIQUE(_xlfn._xlws.FILTER(Data!I:I, Data!K:K=D9)))</f>
        <v>111</v>
      </c>
      <c r="D22" t="str" cm="1">
        <f t="array" ref="D22">_xlfn.TEXTJOIN(", ", TRUE, _xlfn.UNIQUE(_xlfn._xlws.FILTER(Data!Q:Q, Data!S:S=D10)))</f>
        <v>112</v>
      </c>
      <c r="E22" s="11" t="str" cm="1">
        <f t="array" ref="E22">_xlfn.TEXTJOIN(", ", TRUE, _xlfn.UNIQUE(_xlfn._xlws.FILTER(Data!Y:Y, Data!AA:AA=D11)))</f>
        <v>3, 13, 23, 33, 43, 103, 113, 123, 133, 143, 203, 213, 223, 233, 243, 303, 313, 323, 333, 343, 403, 413, 423, 433, 443, 503, 513, 523, 533, 543</v>
      </c>
      <c r="F22" cm="1">
        <f t="array" ref="F22">COUNT(_xlfn.UNIQUE(_xlfn._xlws.FILTER(Data!Y:Y, Data!AA:AA=D11)))</f>
        <v>30</v>
      </c>
      <c r="G22" t="b">
        <f>EXACT(E22,E23)</f>
        <v>1</v>
      </c>
    </row>
    <row r="23" spans="1:7" x14ac:dyDescent="0.35">
      <c r="A23" s="10" t="s">
        <v>29</v>
      </c>
      <c r="B23" t="str" cm="1">
        <f t="array" ref="B23">_xlfn.TEXTJOIN(", ", TRUE, _xlfn.UNIQUE(_xlfn._xlws.FILTER(Data!A:A, Data!C:C=E8)))</f>
        <v>110</v>
      </c>
      <c r="C23" t="str" cm="1">
        <f t="array" ref="C23">_xlfn.TEXTJOIN(", ", TRUE, _xlfn.UNIQUE(_xlfn._xlws.FILTER(Data!I:I, Data!K:K=E9)))</f>
        <v>111</v>
      </c>
      <c r="D23" t="str" cm="1">
        <f t="array" ref="D23">_xlfn.TEXTJOIN(", ", TRUE, _xlfn.UNIQUE(_xlfn._xlws.FILTER(Data!Q:Q, Data!S:S=E10)))</f>
        <v>112</v>
      </c>
      <c r="E23" s="11" t="str" cm="1">
        <f t="array" ref="E23">_xlfn.TEXTJOIN(", ", TRUE, _xlfn.UNIQUE(_xlfn._xlws.FILTER(Data!Y:Y, Data!AA:AA=E11)))</f>
        <v>3, 13, 23, 33, 43, 103, 113, 123, 133, 143, 203, 213, 223, 233, 243, 303, 313, 323, 333, 343, 403, 413, 423, 433, 443, 503, 513, 523, 533, 543</v>
      </c>
      <c r="F23" cm="1">
        <f t="array" ref="F23">COUNT(_xlfn.UNIQUE(_xlfn._xlws.FILTER(Data!Y:Y, Data!AA:AA=E11)))</f>
        <v>30</v>
      </c>
      <c r="G23" t="b">
        <f>EXACT(E20,E23)</f>
        <v>1</v>
      </c>
    </row>
    <row r="25" spans="1:7" ht="29" x14ac:dyDescent="0.35">
      <c r="A25" s="13" t="s">
        <v>42</v>
      </c>
      <c r="B25" s="6" t="s">
        <v>14</v>
      </c>
      <c r="C25" s="6" t="s">
        <v>15</v>
      </c>
      <c r="D25" s="6" t="s">
        <v>16</v>
      </c>
    </row>
    <row r="26" spans="1:7" x14ac:dyDescent="0.35">
      <c r="A26" s="10" t="s">
        <v>26</v>
      </c>
      <c r="B26" t="str" cm="1">
        <f t="array" ref="B26">_xlfn.TEXTJOIN(", ", TRUE, _xlfn.UNIQUE(_xlfn._xlws.FILTER(Data!A:A, Data!C:C=B14)))</f>
        <v>400</v>
      </c>
      <c r="C26" t="str" cm="1">
        <f t="array" ref="C26">_xlfn.TEXTJOIN(", ", TRUE, _xlfn.UNIQUE(_xlfn._xlws.FILTER(Data!I:I, Data!K:K=B15)))</f>
        <v>401</v>
      </c>
      <c r="D26" t="str" cm="1">
        <f t="array" ref="D26">_xlfn.TEXTJOIN(", ", TRUE, _xlfn.UNIQUE(_xlfn._xlws.FILTER(Data!Q:Q, Data!S:S=B16)))</f>
        <v>402</v>
      </c>
      <c r="E26" t="s">
        <v>43</v>
      </c>
    </row>
    <row r="27" spans="1:7" x14ac:dyDescent="0.35">
      <c r="A27" s="10" t="s">
        <v>27</v>
      </c>
      <c r="B27" t="str" cm="1">
        <f t="array" ref="B27">_xlfn.TEXTJOIN(", ", TRUE, _xlfn.UNIQUE(_xlfn._xlws.FILTER(Data!A:A, Data!C:C=C14)))</f>
        <v>400</v>
      </c>
      <c r="C27" t="str" cm="1">
        <f t="array" ref="C27">_xlfn.TEXTJOIN(", ", TRUE, _xlfn.UNIQUE(_xlfn._xlws.FILTER(Data!I:I, Data!K:K=C15)))</f>
        <v>401</v>
      </c>
      <c r="D27" t="str" cm="1">
        <f t="array" ref="D27">_xlfn.TEXTJOIN(", ", TRUE, _xlfn.UNIQUE(_xlfn._xlws.FILTER(Data!Q:Q, Data!S:S=C16)))</f>
        <v>402</v>
      </c>
      <c r="E27" t="s">
        <v>43</v>
      </c>
    </row>
    <row r="28" spans="1:7" x14ac:dyDescent="0.35">
      <c r="A28" s="10" t="s">
        <v>28</v>
      </c>
      <c r="B28" t="str" cm="1">
        <f t="array" ref="B28">_xlfn.TEXTJOIN(", ", TRUE, _xlfn.UNIQUE(_xlfn._xlws.FILTER(Data!A:A, Data!C:C=D14)))</f>
        <v>300</v>
      </c>
      <c r="C28" t="str" cm="1">
        <f t="array" ref="C28">_xlfn.TEXTJOIN(", ", TRUE, _xlfn.UNIQUE(_xlfn._xlws.FILTER(Data!I:I, Data!K:K=D15)))</f>
        <v>301</v>
      </c>
      <c r="D28" t="str" cm="1">
        <f t="array" ref="D28">_xlfn.TEXTJOIN(", ", TRUE, _xlfn.UNIQUE(_xlfn._xlws.FILTER(Data!Q:Q, Data!S:S=D16)))</f>
        <v>402</v>
      </c>
      <c r="E28" t="s">
        <v>43</v>
      </c>
    </row>
    <row r="29" spans="1:7" x14ac:dyDescent="0.35">
      <c r="A29" s="10" t="s">
        <v>29</v>
      </c>
      <c r="B29" t="str" cm="1">
        <f t="array" ref="B29">_xlfn.TEXTJOIN(", ", TRUE, _xlfn.UNIQUE(_xlfn._xlws.FILTER(Data!A:A, Data!C:C=E14)))</f>
        <v>300</v>
      </c>
      <c r="C29" t="str" cm="1">
        <f t="array" ref="C29">_xlfn.TEXTJOIN(", ", TRUE, _xlfn.UNIQUE(_xlfn._xlws.FILTER(Data!I:I, Data!K:K=E15)))</f>
        <v>301</v>
      </c>
      <c r="D29" t="str" cm="1">
        <f t="array" ref="D29">_xlfn.TEXTJOIN(", ", TRUE, _xlfn.UNIQUE(_xlfn._xlws.FILTER(Data!Q:Q, Data!S:S=E16)))</f>
        <v>402</v>
      </c>
      <c r="E2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Codes</vt:lpstr>
      <vt:lpstr>Data</vt:lpstr>
      <vt:lpstr>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Lopez</dc:creator>
  <cp:lastModifiedBy>Lopez, Jayden</cp:lastModifiedBy>
  <cp:lastPrinted>2026-05-08T00:16:16Z</cp:lastPrinted>
  <dcterms:created xsi:type="dcterms:W3CDTF">2015-06-05T18:17:20Z</dcterms:created>
  <dcterms:modified xsi:type="dcterms:W3CDTF">2026-05-08T00:58:13Z</dcterms:modified>
</cp:coreProperties>
</file>